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tc\GitHub\sim-sih-mortalidade-internacoes-0-6-anos\references\CID\"/>
    </mc:Choice>
  </mc:AlternateContent>
  <bookViews>
    <workbookView xWindow="0" yWindow="0" windowWidth="23040" windowHeight="10332"/>
  </bookViews>
  <sheets>
    <sheet name="Dicionário CID-10" sheetId="1" r:id="rId1"/>
  </sheets>
  <definedNames>
    <definedName name="_xlnm._FilterDatabase" localSheetId="0" hidden="1">'Dicionário CID-10'!$A$1:$K$340</definedName>
  </definedNames>
  <calcPr calcId="162913"/>
</workbook>
</file>

<file path=xl/calcChain.xml><?xml version="1.0" encoding="utf-8"?>
<calcChain xmlns="http://schemas.openxmlformats.org/spreadsheetml/2006/main">
  <c r="D108" i="1" l="1"/>
  <c r="D107" i="1"/>
  <c r="D101" i="1"/>
  <c r="D102" i="1"/>
  <c r="D103" i="1"/>
  <c r="D104" i="1"/>
  <c r="D105" i="1"/>
  <c r="D106" i="1"/>
  <c r="D100" i="1"/>
  <c r="D93" i="1"/>
  <c r="D92" i="1"/>
  <c r="D90" i="1"/>
  <c r="D91" i="1"/>
  <c r="D89" i="1"/>
  <c r="B338" i="1"/>
  <c r="C338" i="1"/>
  <c r="D338" i="1"/>
  <c r="B339" i="1"/>
  <c r="C339" i="1"/>
  <c r="D339" i="1"/>
  <c r="B340" i="1"/>
  <c r="C340" i="1"/>
  <c r="D340" i="1"/>
  <c r="D337" i="1"/>
  <c r="C337" i="1"/>
  <c r="B337" i="1"/>
  <c r="D336" i="1"/>
  <c r="C336" i="1"/>
  <c r="B336" i="1"/>
  <c r="D335" i="1"/>
  <c r="D334" i="1"/>
  <c r="D327" i="1"/>
  <c r="D328" i="1"/>
  <c r="D329" i="1"/>
  <c r="D330" i="1"/>
  <c r="D331" i="1"/>
  <c r="D332" i="1"/>
  <c r="D333" i="1"/>
  <c r="D326" i="1"/>
  <c r="D325" i="1"/>
  <c r="D324" i="1"/>
  <c r="D318" i="1"/>
  <c r="D319" i="1"/>
  <c r="D320" i="1"/>
  <c r="D321" i="1"/>
  <c r="D322" i="1"/>
  <c r="D323" i="1"/>
  <c r="D316" i="1"/>
  <c r="D31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D307" i="1"/>
  <c r="C307" i="1"/>
  <c r="B307" i="1"/>
  <c r="B306" i="1"/>
  <c r="C306" i="1"/>
  <c r="D306" i="1"/>
  <c r="B305" i="1"/>
  <c r="C305" i="1"/>
  <c r="D305" i="1"/>
  <c r="B304" i="1"/>
  <c r="C304" i="1"/>
  <c r="D304" i="1"/>
  <c r="B303" i="1"/>
  <c r="C303" i="1"/>
  <c r="D303" i="1"/>
  <c r="B302" i="1"/>
  <c r="C302" i="1"/>
  <c r="D302" i="1"/>
  <c r="B301" i="1"/>
  <c r="C301" i="1"/>
  <c r="D301" i="1"/>
  <c r="D300" i="1"/>
  <c r="C300" i="1"/>
  <c r="B300" i="1"/>
  <c r="D297" i="1"/>
  <c r="D299" i="1"/>
  <c r="D298" i="1"/>
  <c r="D293" i="1"/>
  <c r="D294" i="1"/>
  <c r="D295" i="1"/>
  <c r="D296" i="1"/>
  <c r="D292" i="1"/>
  <c r="D291" i="1"/>
  <c r="C291" i="1"/>
  <c r="B291" i="1"/>
  <c r="D290" i="1"/>
  <c r="C290" i="1"/>
  <c r="B290" i="1"/>
  <c r="D289" i="1"/>
  <c r="D288" i="1"/>
  <c r="D282" i="1"/>
  <c r="D283" i="1"/>
  <c r="D284" i="1"/>
  <c r="D285" i="1"/>
  <c r="D286" i="1"/>
  <c r="D287" i="1"/>
  <c r="D281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D274" i="1"/>
  <c r="D275" i="1"/>
  <c r="C275" i="1"/>
  <c r="B275" i="1"/>
  <c r="D273" i="1"/>
  <c r="D272" i="1"/>
  <c r="D271" i="1"/>
  <c r="D270" i="1"/>
  <c r="D269" i="1"/>
  <c r="D267" i="1"/>
  <c r="D265" i="1"/>
  <c r="D263" i="1"/>
  <c r="D262" i="1"/>
  <c r="D261" i="1"/>
  <c r="D264" i="1"/>
  <c r="D266" i="1"/>
  <c r="D260" i="1"/>
  <c r="D259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68" i="1"/>
  <c r="C268" i="1"/>
  <c r="D268" i="1"/>
  <c r="D254" i="1"/>
  <c r="C254" i="1"/>
  <c r="B254" i="1"/>
  <c r="D253" i="1"/>
  <c r="D252" i="1"/>
  <c r="D246" i="1"/>
  <c r="D247" i="1"/>
  <c r="D248" i="1"/>
  <c r="D249" i="1"/>
  <c r="D250" i="1"/>
  <c r="D251" i="1"/>
  <c r="D245" i="1"/>
  <c r="B242" i="1"/>
  <c r="C242" i="1"/>
  <c r="D242" i="1"/>
  <c r="B243" i="1"/>
  <c r="C243" i="1"/>
  <c r="D243" i="1"/>
  <c r="B244" i="1"/>
  <c r="C244" i="1"/>
  <c r="D244" i="1"/>
  <c r="D241" i="1"/>
  <c r="C241" i="1"/>
  <c r="B241" i="1"/>
  <c r="D240" i="1"/>
  <c r="D239" i="1"/>
  <c r="D238" i="1"/>
  <c r="D237" i="1"/>
  <c r="D236" i="1"/>
  <c r="D235" i="1"/>
  <c r="D234" i="1"/>
  <c r="D233" i="1"/>
  <c r="D232" i="1"/>
  <c r="D231" i="1"/>
  <c r="D230" i="1"/>
  <c r="C230" i="1"/>
  <c r="B230" i="1"/>
  <c r="D229" i="1"/>
  <c r="D228" i="1"/>
  <c r="D227" i="1"/>
  <c r="D226" i="1"/>
  <c r="D225" i="1"/>
  <c r="D224" i="1"/>
  <c r="D223" i="1"/>
  <c r="D222" i="1"/>
  <c r="D221" i="1"/>
  <c r="B219" i="1"/>
  <c r="C219" i="1"/>
  <c r="D219" i="1"/>
  <c r="B220" i="1"/>
  <c r="C220" i="1"/>
  <c r="D220" i="1"/>
  <c r="D218" i="1"/>
  <c r="C218" i="1"/>
  <c r="B218" i="1"/>
  <c r="D217" i="1"/>
  <c r="D216" i="1"/>
  <c r="D215" i="1"/>
  <c r="D214" i="1"/>
  <c r="D213" i="1"/>
  <c r="D212" i="1"/>
  <c r="D211" i="1"/>
  <c r="D210" i="1"/>
  <c r="D209" i="1"/>
  <c r="D208" i="1"/>
  <c r="C209" i="1"/>
  <c r="C208" i="1"/>
  <c r="B209" i="1"/>
  <c r="B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C189" i="1"/>
  <c r="B189" i="1"/>
  <c r="D188" i="1"/>
  <c r="C188" i="1"/>
  <c r="B188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B186" i="1"/>
  <c r="C186" i="1"/>
  <c r="D186" i="1"/>
  <c r="B187" i="1"/>
  <c r="C187" i="1"/>
  <c r="D187" i="1"/>
  <c r="B185" i="1"/>
  <c r="C185" i="1"/>
  <c r="D185" i="1"/>
  <c r="D184" i="1"/>
  <c r="C184" i="1"/>
  <c r="B184" i="1"/>
  <c r="D168" i="1"/>
  <c r="D167" i="1"/>
  <c r="C168" i="1"/>
  <c r="C167" i="1"/>
  <c r="B168" i="1"/>
  <c r="B167" i="1"/>
  <c r="D165" i="1"/>
  <c r="D164" i="1"/>
  <c r="D163" i="1"/>
  <c r="D162" i="1"/>
  <c r="D161" i="1"/>
  <c r="D160" i="1"/>
  <c r="D159" i="1"/>
  <c r="D158" i="1"/>
  <c r="D166" i="1"/>
  <c r="C166" i="1"/>
  <c r="B166" i="1"/>
  <c r="B157" i="1"/>
  <c r="C157" i="1"/>
  <c r="D15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D147" i="1"/>
  <c r="C147" i="1"/>
  <c r="B147" i="1"/>
  <c r="D146" i="1"/>
  <c r="C146" i="1"/>
  <c r="B146" i="1"/>
  <c r="D145" i="1"/>
  <c r="D144" i="1"/>
  <c r="D143" i="1"/>
  <c r="D142" i="1"/>
  <c r="D141" i="1"/>
  <c r="D140" i="1"/>
  <c r="D139" i="1"/>
  <c r="D135" i="1"/>
  <c r="D133" i="1"/>
  <c r="D132" i="1"/>
  <c r="D131" i="1"/>
  <c r="D130" i="1"/>
  <c r="D129" i="1"/>
  <c r="C129" i="1"/>
  <c r="B129" i="1"/>
  <c r="D128" i="1"/>
  <c r="C128" i="1"/>
  <c r="B128" i="1"/>
  <c r="D127" i="1"/>
  <c r="C127" i="1"/>
  <c r="B127" i="1"/>
  <c r="D124" i="1"/>
  <c r="D123" i="1"/>
  <c r="D122" i="1"/>
  <c r="D115" i="1"/>
  <c r="D116" i="1"/>
  <c r="D117" i="1"/>
  <c r="D118" i="1"/>
  <c r="D119" i="1"/>
  <c r="D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99" i="1"/>
  <c r="C99" i="1"/>
  <c r="B99" i="1"/>
  <c r="D98" i="1"/>
  <c r="C98" i="1"/>
  <c r="B98" i="1"/>
  <c r="D97" i="1"/>
  <c r="C97" i="1"/>
  <c r="B97" i="1"/>
  <c r="C96" i="1"/>
  <c r="D96" i="1"/>
  <c r="C95" i="1"/>
  <c r="D95" i="1" s="1"/>
  <c r="B95" i="1"/>
  <c r="B96" i="1"/>
  <c r="D94" i="1"/>
  <c r="C94" i="1"/>
  <c r="B94" i="1"/>
  <c r="C88" i="1"/>
  <c r="B88" i="1"/>
  <c r="C87" i="1"/>
  <c r="B87" i="1"/>
  <c r="C86" i="1"/>
  <c r="B86" i="1"/>
  <c r="D85" i="1"/>
  <c r="C85" i="1"/>
  <c r="B85" i="1"/>
  <c r="D84" i="1"/>
  <c r="D83" i="1"/>
  <c r="D82" i="1"/>
  <c r="D81" i="1"/>
  <c r="D80" i="1"/>
  <c r="D79" i="1"/>
  <c r="D78" i="1"/>
  <c r="D77" i="1"/>
  <c r="D76" i="1"/>
  <c r="D75" i="1"/>
  <c r="D74" i="1"/>
  <c r="C74" i="1"/>
  <c r="B74" i="1"/>
  <c r="D73" i="1"/>
  <c r="C73" i="1"/>
  <c r="B73" i="1"/>
  <c r="D72" i="1"/>
  <c r="C72" i="1"/>
  <c r="B72" i="1"/>
  <c r="C71" i="1"/>
  <c r="B71" i="1"/>
  <c r="C70" i="1"/>
  <c r="D70" i="1" s="1"/>
  <c r="C69" i="1"/>
  <c r="D69" i="1" s="1"/>
  <c r="B70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 s="1"/>
  <c r="B60" i="1"/>
  <c r="D52" i="1"/>
  <c r="C52" i="1"/>
  <c r="B52" i="1"/>
  <c r="C51" i="1"/>
  <c r="D51" i="1" s="1"/>
  <c r="B51" i="1"/>
  <c r="D44" i="1"/>
  <c r="D43" i="1"/>
  <c r="D42" i="1"/>
  <c r="D41" i="1"/>
  <c r="D40" i="1"/>
  <c r="D39" i="1"/>
  <c r="D36" i="1"/>
  <c r="D35" i="1"/>
  <c r="D24" i="1"/>
  <c r="D23" i="1"/>
  <c r="C18" i="1"/>
  <c r="D18" i="1" s="1"/>
</calcChain>
</file>

<file path=xl/sharedStrings.xml><?xml version="1.0" encoding="utf-8"?>
<sst xmlns="http://schemas.openxmlformats.org/spreadsheetml/2006/main" count="2933" uniqueCount="884">
  <si>
    <t>CID-10</t>
  </si>
  <si>
    <t>Capítulo</t>
  </si>
  <si>
    <t>Nome do capítulo</t>
  </si>
  <si>
    <t>Sistema/Organismo</t>
  </si>
  <si>
    <t>Grupo de patologia</t>
  </si>
  <si>
    <t>Genérico/Mal definido</t>
  </si>
  <si>
    <t>Nota de revisão</t>
  </si>
  <si>
    <t>A04</t>
  </si>
  <si>
    <t>Outras infecções intestinais bacterianas</t>
  </si>
  <si>
    <t>I</t>
  </si>
  <si>
    <t>Algumas doenças infecciosas e parasitárias</t>
  </si>
  <si>
    <t>Doenças infecciosas e parasitárias</t>
  </si>
  <si>
    <t>Diarreia e gastroenterite</t>
  </si>
  <si>
    <t>0</t>
  </si>
  <si>
    <t>A08</t>
  </si>
  <si>
    <t>Infecções intestinais virais e outras especificadas</t>
  </si>
  <si>
    <t>A09</t>
  </si>
  <si>
    <t>Diarreia e gastroenterite de origem infecciosa presumível</t>
  </si>
  <si>
    <t>A31</t>
  </si>
  <si>
    <t>Infecções por outras micobactérias</t>
  </si>
  <si>
    <t>Sepse e infecções sistêmicas</t>
  </si>
  <si>
    <t>A39</t>
  </si>
  <si>
    <t>Infecção meningocócica</t>
  </si>
  <si>
    <t>Meningites e infecções do SNC</t>
  </si>
  <si>
    <t>Nomenclatura ajustada: CID-10 A39 é "Infecção meningocócica".</t>
  </si>
  <si>
    <t>A41</t>
  </si>
  <si>
    <t>Outras septicemias (sepse) — agente não especificado</t>
  </si>
  <si>
    <t>1</t>
  </si>
  <si>
    <t>Sepse sem identificação do agente: código inespecífico.</t>
  </si>
  <si>
    <t>A48</t>
  </si>
  <si>
    <t>Outras doenças bacterianas não classificadas em outra parte</t>
  </si>
  <si>
    <t>A49</t>
  </si>
  <si>
    <t>Infecção bacteriana de localização não especificada</t>
  </si>
  <si>
    <t>A50</t>
  </si>
  <si>
    <t>Sífilis congênita</t>
  </si>
  <si>
    <t>Infecções congênitas (sífilis e TORCH)</t>
  </si>
  <si>
    <t>A53</t>
  </si>
  <si>
    <t>Sífilis não especificada e outras sífilis</t>
  </si>
  <si>
    <t>B34</t>
  </si>
  <si>
    <t>Doenças por vírus de localização não especificada</t>
  </si>
  <si>
    <t>Nomenclatura ajustada; código inespecífico.</t>
  </si>
  <si>
    <t>B55</t>
  </si>
  <si>
    <t>Leishmaniose</t>
  </si>
  <si>
    <t>Doenças tropicais negligenciadas</t>
  </si>
  <si>
    <t>B99</t>
  </si>
  <si>
    <t>Doenças infecciosas outras e as não especificadas</t>
  </si>
  <si>
    <t>C71</t>
  </si>
  <si>
    <t>Neoplasia maligna do encéfalo</t>
  </si>
  <si>
    <t>II</t>
  </si>
  <si>
    <t>Neoplasias (tumores)</t>
  </si>
  <si>
    <t>Neoplasias (oncologia)</t>
  </si>
  <si>
    <t>Tumores do sistema nervoso central</t>
  </si>
  <si>
    <t>C74</t>
  </si>
  <si>
    <t>Neoplasia maligna da glândula suprarrenal</t>
  </si>
  <si>
    <t>Tumores sólidos extracranianos</t>
  </si>
  <si>
    <t>Rótulo anterior citava neuroblastoma; C74 é a topografia suprarrenal.</t>
  </si>
  <si>
    <t>C91</t>
  </si>
  <si>
    <t>Leucemia linfoide</t>
  </si>
  <si>
    <t>Leucemias</t>
  </si>
  <si>
    <t>C92</t>
  </si>
  <si>
    <t>Leucemia mieloide</t>
  </si>
  <si>
    <t>D57</t>
  </si>
  <si>
    <t>Transtornos falciformes</t>
  </si>
  <si>
    <t>III</t>
  </si>
  <si>
    <t>Doenças do sangue e dos órgãos hematopoéticos</t>
  </si>
  <si>
    <t>Sangue, órgãos hematopoéticos e imunidade</t>
  </si>
  <si>
    <t>Hemoglobinopatias</t>
  </si>
  <si>
    <t>Nomenclatura ajustada: D57 cobre todos os transtornos falciformes.</t>
  </si>
  <si>
    <t>E43</t>
  </si>
  <si>
    <t>Desnutrição proteico-calórica grave não especificada</t>
  </si>
  <si>
    <t>IV</t>
  </si>
  <si>
    <t>Doenças endócrinas, nutricionais e metabólicas</t>
  </si>
  <si>
    <t>Endócrino, nutricional e metabólico</t>
  </si>
  <si>
    <t>Desnutrição</t>
  </si>
  <si>
    <t>E46</t>
  </si>
  <si>
    <t>Desnutrição proteico-calórica não especificada</t>
  </si>
  <si>
    <t>E86</t>
  </si>
  <si>
    <t>Depleção de volume (desidratação)</t>
  </si>
  <si>
    <t>Desidratação e distúrbios hidroeletrolíticos</t>
  </si>
  <si>
    <t>E87</t>
  </si>
  <si>
    <t>Outros transtornos do equilíbrio hidroeletrolítico e ácido-base</t>
  </si>
  <si>
    <t>G00</t>
  </si>
  <si>
    <t>Meningite bacteriana não classificada em outra parte</t>
  </si>
  <si>
    <t>VI</t>
  </si>
  <si>
    <t>Doenças do sistema nervoso</t>
  </si>
  <si>
    <t>Sistema nervoso</t>
  </si>
  <si>
    <t>G40</t>
  </si>
  <si>
    <t>Epilepsia</t>
  </si>
  <si>
    <t>Epilepsia e encefalopatias</t>
  </si>
  <si>
    <t>G80</t>
  </si>
  <si>
    <t>Paralisia cerebral infantil</t>
  </si>
  <si>
    <t>G91</t>
  </si>
  <si>
    <t>Hidrocefalia</t>
  </si>
  <si>
    <t>G93</t>
  </si>
  <si>
    <t>Outros transtornos do encéfalo</t>
  </si>
  <si>
    <t>I42</t>
  </si>
  <si>
    <t>Cardiomiopatia</t>
  </si>
  <si>
    <t>IX</t>
  </si>
  <si>
    <t>Doenças do aparelho circulatório</t>
  </si>
  <si>
    <t>Sistema cardiovascular</t>
  </si>
  <si>
    <t>Cardiomiopatias</t>
  </si>
  <si>
    <t>J06</t>
  </si>
  <si>
    <t>Infecções agudas das vias aéreas superiores de localizações múltiplas ou não especificadas</t>
  </si>
  <si>
    <t>X</t>
  </si>
  <si>
    <t>Doenças do aparelho respiratório</t>
  </si>
  <si>
    <t>Sistema respiratório</t>
  </si>
  <si>
    <t>Infecções respiratórias altas</t>
  </si>
  <si>
    <t>J12</t>
  </si>
  <si>
    <t>Pneumonia viral não classificada em outra parte</t>
  </si>
  <si>
    <t>Infecções respiratórias baixas</t>
  </si>
  <si>
    <t>J15</t>
  </si>
  <si>
    <t>Pneumonia bacteriana não classificada em outra parte</t>
  </si>
  <si>
    <t>J18</t>
  </si>
  <si>
    <t>Pneumonia por microrganismo não especificado</t>
  </si>
  <si>
    <t>J21</t>
  </si>
  <si>
    <t>Bronquiolite aguda</t>
  </si>
  <si>
    <t>J35</t>
  </si>
  <si>
    <t>Doenças crônicas das amígdalas e das adenoides</t>
  </si>
  <si>
    <t>J45</t>
  </si>
  <si>
    <t>Asma</t>
  </si>
  <si>
    <t>Asma e sibilância</t>
  </si>
  <si>
    <t>J69</t>
  </si>
  <si>
    <t>Pneumonite devida a sólidos e líquidos (aspiração)</t>
  </si>
  <si>
    <t>J81</t>
  </si>
  <si>
    <t>Edema pulmonar</t>
  </si>
  <si>
    <t>Insuficiência e outros transtornos respiratórios</t>
  </si>
  <si>
    <t>J96</t>
  </si>
  <si>
    <t>Insuficiência respiratória não classificada em outra parte</t>
  </si>
  <si>
    <t>J98</t>
  </si>
  <si>
    <t>Outros transtornos respiratórios</t>
  </si>
  <si>
    <t>K35</t>
  </si>
  <si>
    <t>Apendicite aguda</t>
  </si>
  <si>
    <t>XI</t>
  </si>
  <si>
    <t>Doenças do aparelho digestivo</t>
  </si>
  <si>
    <t>Sistema digestório</t>
  </si>
  <si>
    <t>Afecções cirúrgicas do abdome</t>
  </si>
  <si>
    <t>K40</t>
  </si>
  <si>
    <t>Hérnia inguinal</t>
  </si>
  <si>
    <t>K42</t>
  </si>
  <si>
    <t>Hérnia umbilical</t>
  </si>
  <si>
    <t>K52</t>
  </si>
  <si>
    <t>Outras gastroenterites e colites não infecciosas</t>
  </si>
  <si>
    <t>K56</t>
  </si>
  <si>
    <t>Íleo paralítico e obstrução intestinal sem hérnia</t>
  </si>
  <si>
    <t>K63</t>
  </si>
  <si>
    <t>Outras doenças do intestino</t>
  </si>
  <si>
    <t>K92</t>
  </si>
  <si>
    <t>Outras doenças do aparelho digestivo</t>
  </si>
  <si>
    <t>L01</t>
  </si>
  <si>
    <t>Impetigo</t>
  </si>
  <si>
    <t>XII</t>
  </si>
  <si>
    <t>Doenças da pele e do tecido subcutâneo</t>
  </si>
  <si>
    <t>Pele e tecido subcutâneo</t>
  </si>
  <si>
    <t>Infecções de pele e partes moles</t>
  </si>
  <si>
    <t>L02</t>
  </si>
  <si>
    <t>Abscesso cutâneo, furúnculo e antraz</t>
  </si>
  <si>
    <t>L03</t>
  </si>
  <si>
    <t>Celulite (flegmão)</t>
  </si>
  <si>
    <t>L98</t>
  </si>
  <si>
    <t>Outras afecções da pele e do tecido subcutâneo</t>
  </si>
  <si>
    <t>N39</t>
  </si>
  <si>
    <t>Outros transtornos do trato urinário</t>
  </si>
  <si>
    <t>XIV</t>
  </si>
  <si>
    <t>Doenças do aparelho geniturinário</t>
  </si>
  <si>
    <t>Sistema geniturinário</t>
  </si>
  <si>
    <t>Infecções e transtornos do trato urinário</t>
  </si>
  <si>
    <t>N47</t>
  </si>
  <si>
    <t>Prepúcio redundante, fimose e parafimose</t>
  </si>
  <si>
    <t>Procedimentos urológicos eletivos</t>
  </si>
  <si>
    <t>P00</t>
  </si>
  <si>
    <t>Recém-nascido afetado por afecções maternas</t>
  </si>
  <si>
    <t>XVI</t>
  </si>
  <si>
    <t>Afecções originadas no período perinatal</t>
  </si>
  <si>
    <t>Afecções perinatais</t>
  </si>
  <si>
    <t>Complicações maternas e placentárias</t>
  </si>
  <si>
    <t>P01</t>
  </si>
  <si>
    <t>Recém-nascido afetado por complicações maternas da gravidez</t>
  </si>
  <si>
    <t>P02</t>
  </si>
  <si>
    <t>Recém-nascido afetado por complicações da placenta, do cordão e das membranas</t>
  </si>
  <si>
    <t>P05</t>
  </si>
  <si>
    <t>Crescimento fetal retardado e desnutrição fetal</t>
  </si>
  <si>
    <t>Prematuridade e baixo peso</t>
  </si>
  <si>
    <t>P07</t>
  </si>
  <si>
    <t>Transtornos relacionados com gestação de curta duração e baixo peso ao nascer</t>
  </si>
  <si>
    <t>P20</t>
  </si>
  <si>
    <t>Hipóxia intrauterina</t>
  </si>
  <si>
    <t>Asfixia e hipóxia perinatal</t>
  </si>
  <si>
    <t>P21</t>
  </si>
  <si>
    <t>Asfixia ao nascer</t>
  </si>
  <si>
    <t>P22</t>
  </si>
  <si>
    <t>Desconforto respiratório do recém-nascido</t>
  </si>
  <si>
    <t>P23</t>
  </si>
  <si>
    <t>Pneumonia congênita</t>
  </si>
  <si>
    <t>P24</t>
  </si>
  <si>
    <t>Síndromes de aspiração neonatal</t>
  </si>
  <si>
    <t>Aspiração neonatal</t>
  </si>
  <si>
    <t>P27</t>
  </si>
  <si>
    <t>Doença respiratória crônica originada no período perinatal</t>
  </si>
  <si>
    <t>P28</t>
  </si>
  <si>
    <t>Outras afecções respiratórias do recém-nascido</t>
  </si>
  <si>
    <t>P29</t>
  </si>
  <si>
    <t>Transtornos cardiovasculares originados no período perinatal</t>
  </si>
  <si>
    <t>Transtornos cardiovasculares perinatais</t>
  </si>
  <si>
    <t>P35</t>
  </si>
  <si>
    <t>Doenças virais congênitas</t>
  </si>
  <si>
    <t>P36</t>
  </si>
  <si>
    <t>Septicemia bacteriana do recém-nascido</t>
  </si>
  <si>
    <t>P37</t>
  </si>
  <si>
    <t>Outras doenças infecciosas e parasitárias congênitas</t>
  </si>
  <si>
    <t>P39</t>
  </si>
  <si>
    <t>Outras infecções próprias do período perinatal</t>
  </si>
  <si>
    <t>P57</t>
  </si>
  <si>
    <t>Kernicterus</t>
  </si>
  <si>
    <t>Icterícia e distúrbios hematológicos neonatais</t>
  </si>
  <si>
    <t>P58</t>
  </si>
  <si>
    <t>Icterícia neonatal devida a outras hemólises excessivas</t>
  </si>
  <si>
    <t>P59</t>
  </si>
  <si>
    <t>Icterícia neonatal devida a outras causas e às não especificadas</t>
  </si>
  <si>
    <t>P70</t>
  </si>
  <si>
    <t>Transtornos transitórios do metabolismo dos carboidratos do recém-nascido</t>
  </si>
  <si>
    <t>Distúrbios metabólicos neonatais</t>
  </si>
  <si>
    <t>P74</t>
  </si>
  <si>
    <t>Outros distúrbios metabólicos e eletrolíticos transitórios do recém-nascido</t>
  </si>
  <si>
    <t>P77</t>
  </si>
  <si>
    <t>Enterocolite necrotizante do feto e do recém-nascido</t>
  </si>
  <si>
    <t>Enterocolite necrotizante</t>
  </si>
  <si>
    <t>P83</t>
  </si>
  <si>
    <t>Outras afecções comprometendo o tegumento do feto e do recém-nascido</t>
  </si>
  <si>
    <t>Outras afecções perinatais</t>
  </si>
  <si>
    <t>P91</t>
  </si>
  <si>
    <t>Outros distúrbios da função cerebral do recém-nascido</t>
  </si>
  <si>
    <t>P92</t>
  </si>
  <si>
    <t>Problemas de alimentação do recém-nascido</t>
  </si>
  <si>
    <t>P94</t>
  </si>
  <si>
    <t>Transtornos do tônus muscular do recém-nascido</t>
  </si>
  <si>
    <t>P96</t>
  </si>
  <si>
    <t>Outras afecções originadas no período perinatal</t>
  </si>
  <si>
    <t>Q00</t>
  </si>
  <si>
    <t>Anencefalia e malformações similares</t>
  </si>
  <si>
    <t>XVII</t>
  </si>
  <si>
    <t>Malformações congênitas e anomalias cromossômicas</t>
  </si>
  <si>
    <t>Malformações congênitas e cromossômicas</t>
  </si>
  <si>
    <t>Malformações do sistema nervoso central</t>
  </si>
  <si>
    <t>Q02</t>
  </si>
  <si>
    <t>Microcefalia</t>
  </si>
  <si>
    <t>Q03</t>
  </si>
  <si>
    <t>Hidrocefalia congênita</t>
  </si>
  <si>
    <t>Q04</t>
  </si>
  <si>
    <t>Outras malformações congênitas do cérebro</t>
  </si>
  <si>
    <t>Q05</t>
  </si>
  <si>
    <t>Espinha bífida</t>
  </si>
  <si>
    <t>Q18</t>
  </si>
  <si>
    <t>Outras malformações congênitas da face e do pescoço</t>
  </si>
  <si>
    <t>Malformações osteoarticulares e craniofaciais</t>
  </si>
  <si>
    <t>Q20</t>
  </si>
  <si>
    <t>Malformações congênitas das câmaras e das comunicações cardíacas</t>
  </si>
  <si>
    <t>Cardiopatias congênitas</t>
  </si>
  <si>
    <t>Q21</t>
  </si>
  <si>
    <t>Malformações congênitas dos septos cardíacos</t>
  </si>
  <si>
    <t>Q22</t>
  </si>
  <si>
    <t>Malformações congênitas das valvas pulmonar e tricúspide</t>
  </si>
  <si>
    <t>Q23</t>
  </si>
  <si>
    <t>Malformações congênitas das valvas aórtica e mitral</t>
  </si>
  <si>
    <t>Q24</t>
  </si>
  <si>
    <t>Outras malformações congênitas do coração</t>
  </si>
  <si>
    <t>Maior volume do bloco cardíaco, porém é o código "outras": limita a leitura clínica.</t>
  </si>
  <si>
    <t>Q25</t>
  </si>
  <si>
    <t>Malformações congênitas das grandes artérias</t>
  </si>
  <si>
    <t>Q33</t>
  </si>
  <si>
    <t>Malformações congênitas do pulmão</t>
  </si>
  <si>
    <t>Malformações respiratórias</t>
  </si>
  <si>
    <t>Q35</t>
  </si>
  <si>
    <t>Fenda palatina</t>
  </si>
  <si>
    <t>Fendas orofaciais</t>
  </si>
  <si>
    <t>Q36</t>
  </si>
  <si>
    <t>Fenda labial</t>
  </si>
  <si>
    <t>Q37</t>
  </si>
  <si>
    <t>Fenda labial com fenda palatina</t>
  </si>
  <si>
    <t>Q38</t>
  </si>
  <si>
    <t>Outras malformações congênitas da língua, da boca e da faringe</t>
  </si>
  <si>
    <t>Malformações do trato digestivo</t>
  </si>
  <si>
    <t>Q39</t>
  </si>
  <si>
    <t>Malformações congênitas do esôfago</t>
  </si>
  <si>
    <t>Q40</t>
  </si>
  <si>
    <t>Outras malformações congênitas do trato digestivo superior</t>
  </si>
  <si>
    <t>Q42</t>
  </si>
  <si>
    <t>Ausência, atresia e estenose congênitas do intestino grosso</t>
  </si>
  <si>
    <t>Q53</t>
  </si>
  <si>
    <t>Testículo não descido (criptorquidia)</t>
  </si>
  <si>
    <t>Malformações genitais</t>
  </si>
  <si>
    <t>Q54</t>
  </si>
  <si>
    <t>Hipospádia</t>
  </si>
  <si>
    <t>Q60</t>
  </si>
  <si>
    <t>Agenesia renal e outras deficiências de redução do rim</t>
  </si>
  <si>
    <t>Malformações do trato urinário</t>
  </si>
  <si>
    <t>Q66</t>
  </si>
  <si>
    <t>Deformidades congênitas do pé</t>
  </si>
  <si>
    <t>Q69</t>
  </si>
  <si>
    <t>Polidactilia</t>
  </si>
  <si>
    <t>Q78</t>
  </si>
  <si>
    <t>Outras osteocondrodisplasias</t>
  </si>
  <si>
    <t>Q79</t>
  </si>
  <si>
    <t>Malformações congênitas do sistema osteomuscular NCOP (hérnia diafragmática, onfalocele, gastrosquise)</t>
  </si>
  <si>
    <t>Malformações da parede abdominal e do diafragma</t>
  </si>
  <si>
    <t>Reclassificado: no 0–6 anos os óbitos de Q79 são majoritariamente hérnia diafragmática (Q79.0) e defeitos de parede abdominal (Q79.2–Q79.3), não doença osteomuscular.</t>
  </si>
  <si>
    <t>Q87</t>
  </si>
  <si>
    <t>Outras síndromes com malformações congênitas múltiplas</t>
  </si>
  <si>
    <t>Síndromes genéticas e cromossômicas</t>
  </si>
  <si>
    <t>Q89</t>
  </si>
  <si>
    <t>Outras malformações congênitas não classificadas em outra parte</t>
  </si>
  <si>
    <t>Malformações múltiplas e inespecíficas</t>
  </si>
  <si>
    <t>Q90</t>
  </si>
  <si>
    <t>Síndrome de Down</t>
  </si>
  <si>
    <t>Q91</t>
  </si>
  <si>
    <t>Síndrome de Edwards e síndrome de Patau</t>
  </si>
  <si>
    <t>R50</t>
  </si>
  <si>
    <t>Febre de origem desconhecida</t>
  </si>
  <si>
    <t>XVIII</t>
  </si>
  <si>
    <t>Sintomas, sinais e achados anormais mal definidos</t>
  </si>
  <si>
    <t>Causas mal definidas</t>
  </si>
  <si>
    <t>R69</t>
  </si>
  <si>
    <t>Causas desconhecidas e não especificadas de morbidade</t>
  </si>
  <si>
    <t>R95</t>
  </si>
  <si>
    <t>Síndrome da morte súbita na infância</t>
  </si>
  <si>
    <t>Morte súbita do lactente</t>
  </si>
  <si>
    <t>R98</t>
  </si>
  <si>
    <t>Morte sem assistência</t>
  </si>
  <si>
    <t>R99</t>
  </si>
  <si>
    <t>Outras causas mal definidas e as não especificadas de mortalidade</t>
  </si>
  <si>
    <t>S06</t>
  </si>
  <si>
    <t>Traumatismo intracraniano</t>
  </si>
  <si>
    <t>XIX</t>
  </si>
  <si>
    <t>Lesões, envenenamentos e outras consequências de causas externas</t>
  </si>
  <si>
    <t>Lesões e traumatismos</t>
  </si>
  <si>
    <t>Traumatismos</t>
  </si>
  <si>
    <t>S42</t>
  </si>
  <si>
    <t>Fratura do ombro e do braço</t>
  </si>
  <si>
    <t>S52</t>
  </si>
  <si>
    <t>Fratura do antebraço</t>
  </si>
  <si>
    <t>W67</t>
  </si>
  <si>
    <t>Afogamento e submersão em piscina</t>
  </si>
  <si>
    <t>XX</t>
  </si>
  <si>
    <t>Causas externas de morbidade e mortalidade</t>
  </si>
  <si>
    <t>Causas externas</t>
  </si>
  <si>
    <t>Afogamento</t>
  </si>
  <si>
    <t>W69</t>
  </si>
  <si>
    <t>Afogamento e submersão em águas naturais</t>
  </si>
  <si>
    <t>W74</t>
  </si>
  <si>
    <t>Afogamento e submersão não especificados</t>
  </si>
  <si>
    <t>W75</t>
  </si>
  <si>
    <t>Sufocação e estrangulamento acidentais na cama</t>
  </si>
  <si>
    <t>Sufocação, aspiração e engasgo</t>
  </si>
  <si>
    <t>W78</t>
  </si>
  <si>
    <t>Inalação do conteúdo gástrico</t>
  </si>
  <si>
    <t>W79</t>
  </si>
  <si>
    <t>Inalação e ingestão de alimentos causando obstrução do trato respiratório</t>
  </si>
  <si>
    <t>W84</t>
  </si>
  <si>
    <t>Obstrução não especificada da respiração</t>
  </si>
  <si>
    <t>CORRIGIDO. O rótulo anterior ("obstrução respiratória não especificada") invertia o sentido do código. W84 é um garbage code de causa externa: registra que houve obstrução da respiração sem dizer o mecanismo. Foi o caso levantado na reunião.</t>
  </si>
  <si>
    <t>Y09</t>
  </si>
  <si>
    <t>Agressão por meios não especificados</t>
  </si>
  <si>
    <t>Violência sem mecanismo especificado: entra como causa externa mal definida.</t>
  </si>
  <si>
    <t>Y34</t>
  </si>
  <si>
    <t>Fato ou evento não especificado e intenção não determinada</t>
  </si>
  <si>
    <t>Z03</t>
  </si>
  <si>
    <t>Observação e avaliação médicas por suspeita de doenças</t>
  </si>
  <si>
    <t>XXI</t>
  </si>
  <si>
    <t>Contato com os serviços de saúde</t>
  </si>
  <si>
    <t>Registro administrativo (não-diagnóstico)</t>
  </si>
  <si>
    <t>Registros administrativos (não-diagnóstico)</t>
  </si>
  <si>
    <t>Código administrativo do SIH: não é diagnóstico. Deve ser excluído de análises de causa.</t>
  </si>
  <si>
    <t>Z37</t>
  </si>
  <si>
    <t>Resultado do parto</t>
  </si>
  <si>
    <t>Código administrativo do SIH: não é diagnóstico.</t>
  </si>
  <si>
    <t>Z38</t>
  </si>
  <si>
    <t>Nascidos vivos, segundo o local de nascimento</t>
  </si>
  <si>
    <t>Código administrativo do SIH: marca o nascimento, não uma doença. Infla o volume de internações neonatais.</t>
  </si>
  <si>
    <t>Z76</t>
  </si>
  <si>
    <t>Pessoas em contato com os serviços de saúde em outras circunstâncias</t>
  </si>
  <si>
    <t xml:space="preserve">MVC: Talvez incluir uma subcategoria detalhada da CID que agrupe por agente causador da doença, no caso as bactérias </t>
  </si>
  <si>
    <t>CID-10 Subcategoria</t>
  </si>
  <si>
    <t>A040</t>
  </si>
  <si>
    <t>A041</t>
  </si>
  <si>
    <t>Infecção por Escherichia coli enterotoxigênica</t>
  </si>
  <si>
    <t>A042</t>
  </si>
  <si>
    <t>Infecção por Escherichia coli enteroinvasiva</t>
  </si>
  <si>
    <t>A043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</si>
  <si>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</si>
  <si>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</si>
  <si>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</si>
  <si>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</si>
  <si>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</si>
  <si>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</si>
  <si>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</si>
  <si>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</si>
  <si>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</si>
  <si>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</si>
  <si>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</si>
  <si>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</si>
  <si>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Infecçao por Escherichia coli enteropatogênica</t>
  </si>
  <si>
    <t>Infecção por Escherichia coli enterohemorrêgica</t>
  </si>
  <si>
    <t>Descrição CID-10</t>
  </si>
  <si>
    <t>Descrição CID-10 Subcategoria</t>
  </si>
  <si>
    <t xml:space="preserve">Escherichia coli </t>
  </si>
  <si>
    <t>Campylobacter</t>
  </si>
  <si>
    <t>Yersinia enterocolítica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</si>
  <si>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</si>
  <si>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</si>
  <si>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</si>
  <si>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</si>
  <si>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</si>
  <si>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</si>
  <si>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</si>
  <si>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</si>
  <si>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</si>
  <si>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</si>
  <si>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</si>
  <si>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</si>
  <si>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Rotavírus</t>
  </si>
  <si>
    <t>Agente de Norwalk</t>
  </si>
  <si>
    <t>Adenovírus</t>
  </si>
  <si>
    <t>Outras infecções instestinais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</si>
  <si>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</si>
  <si>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</si>
  <si>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</si>
  <si>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</si>
  <si>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</si>
  <si>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</si>
  <si>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</si>
  <si>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</si>
  <si>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Infecção Microbacteriana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</si>
  <si>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</si>
  <si>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</si>
  <si>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</si>
  <si>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</si>
  <si>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</si>
  <si>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</si>
  <si>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</si>
  <si>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</si>
  <si>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</si>
  <si>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</si>
  <si>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</si>
  <si>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</si>
  <si>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</si>
  <si>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</si>
  <si>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</si>
  <si>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</si>
  <si>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Meningococcemia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</si>
  <si>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</si>
  <si>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</si>
  <si>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</si>
  <si>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</si>
  <si>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</si>
  <si>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</si>
  <si>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</si>
  <si>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</si>
  <si>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</si>
  <si>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</si>
  <si>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</si>
  <si>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</si>
  <si>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</si>
  <si>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</si>
  <si>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</si>
  <si>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</si>
  <si>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Staphylococcus aureus</t>
  </si>
  <si>
    <t>Septicemia por outros estafilococos</t>
  </si>
  <si>
    <t>Haemophilus influenzae</t>
  </si>
  <si>
    <t>Outras septicemias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</si>
  <si>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</si>
  <si>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</si>
  <si>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</si>
  <si>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</si>
  <si>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</si>
  <si>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</si>
  <si>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</si>
  <si>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</si>
  <si>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</si>
  <si>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</si>
  <si>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</si>
  <si>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</si>
  <si>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</si>
  <si>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</si>
  <si>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</si>
  <si>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</si>
  <si>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</si>
  <si>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</si>
  <si>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</si>
  <si>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</si>
  <si>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</si>
  <si>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</si>
  <si>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</si>
  <si>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</si>
  <si>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Infecção estafilocócica</t>
  </si>
  <si>
    <t>Mycoplasma</t>
  </si>
  <si>
    <t>Outras infecções bacterianas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</si>
  <si>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</si>
  <si>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</si>
  <si>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</si>
  <si>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</si>
  <si>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</si>
  <si>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</si>
  <si>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</si>
  <si>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</si>
  <si>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</si>
  <si>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</si>
  <si>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</si>
  <si>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</si>
  <si>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</si>
  <si>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</si>
  <si>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Enterovírus</t>
  </si>
  <si>
    <t>Coronavírus</t>
  </si>
  <si>
    <t>Parvovírus</t>
  </si>
  <si>
    <t>Outras infecções virais</t>
  </si>
  <si>
    <t>Meningite bacteriana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</si>
  <si>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</si>
  <si>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</si>
  <si>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</si>
  <si>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</si>
  <si>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</si>
  <si>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</si>
  <si>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</si>
  <si>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</si>
  <si>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</si>
  <si>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</si>
  <si>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</si>
  <si>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</si>
  <si>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</si>
  <si>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</si>
  <si>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</si>
  <si>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</si>
  <si>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</si>
  <si>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</si>
  <si>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</si>
  <si>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</si>
  <si>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Infecções agudas</t>
  </si>
  <si>
    <t>Pneumonia viral</t>
  </si>
  <si>
    <t>Pneumonia bacteriana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</si>
  <si>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</si>
  <si>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</si>
  <si>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</si>
  <si>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</si>
  <si>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</si>
  <si>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</si>
  <si>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</si>
  <si>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</si>
  <si>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</si>
  <si>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</si>
  <si>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</si>
  <si>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</si>
  <si>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</si>
  <si>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</si>
  <si>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</si>
  <si>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</si>
  <si>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</si>
  <si>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</si>
  <si>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</si>
  <si>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</si>
  <si>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</si>
  <si>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</si>
  <si>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</si>
  <si>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</si>
  <si>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</si>
  <si>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</si>
  <si>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</si>
  <si>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</si>
  <si>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</si>
  <si>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</si>
  <si>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</si>
  <si>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</si>
  <si>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</si>
  <si>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</si>
  <si>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</si>
  <si>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</si>
  <si>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</si>
  <si>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</si>
  <si>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</si>
  <si>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</si>
  <si>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</si>
  <si>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</si>
  <si>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</si>
  <si>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</si>
  <si>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Outras afecções de pele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</si>
  <si>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</si>
  <si>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</si>
  <si>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</si>
  <si>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</si>
  <si>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</si>
  <si>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</si>
  <si>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</si>
  <si>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("stress")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</si>
  <si>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</si>
  <si>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</si>
  <si>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</si>
  <si>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</si>
  <si>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</si>
  <si>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</si>
  <si>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</si>
  <si>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</si>
  <si>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</si>
  <si>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</si>
  <si>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</si>
  <si>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</si>
  <si>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</si>
  <si>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</si>
  <si>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</si>
  <si>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</si>
  <si>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</si>
  <si>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</si>
  <si>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</si>
  <si>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</si>
  <si>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</si>
  <si>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</si>
  <si>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Agente Causador ou Patologia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</si>
  <si>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</si>
  <si>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</si>
  <si>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</si>
  <si>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</si>
  <si>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</si>
  <si>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</si>
  <si>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</si>
  <si>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</si>
  <si>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</si>
  <si>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</si>
  <si>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</si>
  <si>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</si>
  <si>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</si>
  <si>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</si>
  <si>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</si>
  <si>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</si>
  <si>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</si>
  <si>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</si>
  <si>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</si>
  <si>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</si>
  <si>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</si>
  <si>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</si>
  <si>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</si>
  <si>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</si>
  <si>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</si>
  <si>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</si>
  <si>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</si>
  <si>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</si>
  <si>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</si>
  <si>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</si>
  <si>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</si>
  <si>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</si>
  <si>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</si>
  <si>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</si>
  <si>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</si>
  <si>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</si>
  <si>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</si>
  <si>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</si>
  <si>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</si>
  <si>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</si>
  <si>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</si>
  <si>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</si>
  <si>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</si>
  <si>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</si>
  <si>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</si>
  <si>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</si>
  <si>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</si>
  <si>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</si>
  <si>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</si>
  <si>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</si>
  <si>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</si>
  <si>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</si>
  <si>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</si>
  <si>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</si>
  <si>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</si>
  <si>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</si>
  <si>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</si>
  <si>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</si>
  <si>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</si>
  <si>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</si>
  <si>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</si>
  <si>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</si>
  <si>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</si>
  <si>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</si>
  <si>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</si>
  <si>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</si>
  <si>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</si>
  <si>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</si>
  <si>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</si>
  <si>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</si>
  <si>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</si>
  <si>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</si>
  <si>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</si>
  <si>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</si>
  <si>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</si>
  <si>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</si>
  <si>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</si>
  <si>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</si>
  <si>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</si>
  <si>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</si>
  <si>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</si>
  <si>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</si>
  <si>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</si>
  <si>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</si>
  <si>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</si>
  <si>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</si>
  <si>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</si>
  <si>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</si>
  <si>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</si>
  <si>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</si>
  <si>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</si>
  <si>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</si>
  <si>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</si>
  <si>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</si>
  <si>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</si>
  <si>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</si>
  <si>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</si>
  <si>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</si>
  <si>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</si>
  <si>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</si>
  <si>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</si>
  <si>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</si>
  <si>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</si>
  <si>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</si>
  <si>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</si>
  <si>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</si>
  <si>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</si>
  <si>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</si>
  <si>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</si>
  <si>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</si>
  <si>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</si>
  <si>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</si>
  <si>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</si>
  <si>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</si>
  <si>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</si>
  <si>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</si>
  <si>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</si>
  <si>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</si>
  <si>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</si>
  <si>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</si>
  <si>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</si>
  <si>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</si>
  <si>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</si>
  <si>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</si>
  <si>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</si>
  <si>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</si>
  <si>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</si>
  <si>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</si>
  <si>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</si>
  <si>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</si>
  <si>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</si>
  <si>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</si>
  <si>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</si>
  <si>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</si>
  <si>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</si>
  <si>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</si>
  <si>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</si>
  <si>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</si>
  <si>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</si>
  <si>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</si>
  <si>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</si>
  <si>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</si>
  <si>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</si>
  <si>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</si>
  <si>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</si>
  <si>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</si>
  <si>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</si>
  <si>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</si>
  <si>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</si>
  <si>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</si>
  <si>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</si>
  <si>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</si>
  <si>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</si>
  <si>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</si>
  <si>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</si>
  <si>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</si>
  <si>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</si>
  <si>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</si>
  <si>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</si>
  <si>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</si>
  <si>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</si>
  <si>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</si>
  <si>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</si>
  <si>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</si>
  <si>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</si>
  <si>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</si>
  <si>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</si>
  <si>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</si>
  <si>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</si>
  <si>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</si>
  <si>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</si>
  <si>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</si>
  <si>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</si>
  <si>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</si>
  <si>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</si>
  <si>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</si>
  <si>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</si>
  <si>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</si>
  <si>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</si>
  <si>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</si>
  <si>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</si>
  <si>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</si>
  <si>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</si>
  <si>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</si>
  <si>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</si>
  <si>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</si>
  <si>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</si>
  <si>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</si>
  <si>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</si>
  <si>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</si>
  <si>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</si>
  <si>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</si>
  <si>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</si>
  <si>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</si>
  <si>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</si>
  <si>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</si>
  <si>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</si>
  <si>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</si>
  <si>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</si>
  <si>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</si>
  <si>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</si>
  <si>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</si>
  <si>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</si>
  <si>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</si>
  <si>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</si>
  <si>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</si>
  <si>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</si>
  <si>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escolas, outras instituições e áreas de administração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</si>
  <si>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</si>
  <si>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</si>
  <si>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</si>
  <si>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</si>
  <si>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</si>
  <si>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</si>
  <si>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</si>
  <si>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</si>
  <si>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</si>
  <si>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</si>
  <si>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</si>
  <si>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</si>
  <si>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</si>
  <si>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</si>
  <si>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</si>
  <si>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</si>
  <si>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</si>
  <si>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</si>
  <si>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</si>
  <si>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instituições e áreas de administração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</si>
  <si>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</si>
  <si>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</si>
  <si>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</si>
  <si>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</si>
  <si>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</si>
  <si>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</si>
  <si>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</si>
  <si>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</si>
  <si>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</si>
  <si>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</si>
  <si>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</si>
  <si>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</si>
  <si>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</si>
  <si>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</si>
  <si>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MVC: A descrição dom a subcategoria não parece ser necessária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</si>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</sst>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0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9" bestFit="1" customWidth="1"/>
    <col min="2" max="2" width="19.109375" bestFit="1" customWidth="1"/>
    <col min="3" max="3" width="41.5546875" bestFit="1" customWidth="1"/>
    <col min="4" max="4" width="19.33203125" bestFit="1" customWidth="1"/>
    <col min="5" max="5" width="48" customWidth="1"/>
    <col min="6" max="6" width="8.21875" bestFit="1" customWidth="1"/>
    <col min="7" max="7" width="32.44140625" bestFit="1" customWidth="1"/>
    <col min="8" max="8" width="29.109375" bestFit="1" customWidth="1"/>
    <col min="9" max="9" width="32" customWidth="1"/>
    <col min="10" max="10" width="20" bestFit="1" customWidth="1"/>
    <col min="11" max="11" width="49.6640625" bestFit="1" customWidth="1"/>
  </cols>
  <sheetData>
    <row r="1" spans="1:11" x14ac:dyDescent="0.3">
      <c r="A1" s="1" t="s">
        <v>0</v>
      </c>
      <c r="B1" s="1" t="s">
        <v>380</v>
      </c>
      <c r="C1" s="3" t="s">
        <v>402</v>
      </c>
      <c r="D1" s="3" t="s">
        <v>612</v>
      </c>
      <c r="E1" s="3" t="s">
        <v>401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ht="39.6" x14ac:dyDescent="0.3">
      <c r="A2" s="2" t="s">
        <v>7</v>
      </c>
      <c r="B2" s="2" t="s">
        <v>381</v>
      </c>
      <c r="C2" s="2" t="s">
        <v>399</v>
      </c>
      <c r="D2" s="2" t="s">
        <v>403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379</v>
      </c>
    </row>
    <row r="3" spans="1:11" ht="26.4" x14ac:dyDescent="0.3">
      <c r="A3" s="2" t="s">
        <v>7</v>
      </c>
      <c r="B3" s="2" t="s">
        <v>382</v>
      </c>
      <c r="C3" s="2" t="s">
        <v>383</v>
      </c>
      <c r="D3" s="2" t="s">
        <v>403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/>
    </row>
    <row r="4" spans="1:11" ht="26.4" x14ac:dyDescent="0.3">
      <c r="A4" s="2" t="s">
        <v>7</v>
      </c>
      <c r="B4" s="2" t="s">
        <v>384</v>
      </c>
      <c r="C4" s="2" t="s">
        <v>385</v>
      </c>
      <c r="D4" s="2" t="s">
        <v>403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/>
    </row>
    <row r="5" spans="1:11" ht="26.4" x14ac:dyDescent="0.3">
      <c r="A5" s="2" t="s">
        <v>7</v>
      </c>
      <c r="B5" s="2" t="s">
        <v>386</v>
      </c>
      <c r="C5" s="2" t="s">
        <v>400</v>
      </c>
      <c r="D5" s="2" t="s">
        <v>403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/>
    </row>
    <row r="6" spans="1:11" ht="26.4" x14ac:dyDescent="0.3">
      <c r="A6" s="2" t="s">
        <v>7</v>
      </c>
      <c r="B6" s="2" t="s">
        <v>387</v>
      </c>
      <c r="C6" s="2" t="s">
        <v>388</v>
      </c>
      <c r="D6" s="2" t="s">
        <v>403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/>
    </row>
    <row r="7" spans="1:11" ht="26.4" x14ac:dyDescent="0.3">
      <c r="A7" s="2" t="s">
        <v>7</v>
      </c>
      <c r="B7" s="2" t="s">
        <v>389</v>
      </c>
      <c r="C7" s="2" t="s">
        <v>390</v>
      </c>
      <c r="D7" s="2" t="s">
        <v>404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/>
    </row>
    <row r="8" spans="1:11" ht="26.4" x14ac:dyDescent="0.3">
      <c r="A8" s="2" t="s">
        <v>7</v>
      </c>
      <c r="B8" s="2" t="s">
        <v>391</v>
      </c>
      <c r="C8" s="2" t="s">
        <v>392</v>
      </c>
      <c r="D8" s="2" t="s">
        <v>405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/>
    </row>
    <row r="9" spans="1:11" ht="26.4" x14ac:dyDescent="0.3">
      <c r="A9" s="2" t="s">
        <v>7</v>
      </c>
      <c r="B9" s="2" t="s">
        <v>393</v>
      </c>
      <c r="C9" s="2" t="s">
        <v>394</v>
      </c>
      <c r="D9" s="2"/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/>
    </row>
    <row r="10" spans="1:11" ht="39.6" x14ac:dyDescent="0.3">
      <c r="A10" s="2" t="s">
        <v>7</v>
      </c>
      <c r="B10" s="2" t="s">
        <v>395</v>
      </c>
      <c r="C10" s="2" t="s">
        <v>396</v>
      </c>
      <c r="D10" s="2" t="s">
        <v>396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/>
    </row>
    <row r="11" spans="1:11" ht="39.6" x14ac:dyDescent="0.3">
      <c r="A11" s="2" t="s">
        <v>7</v>
      </c>
      <c r="B11" s="2" t="s">
        <v>397</v>
      </c>
      <c r="C11" s="2" t="s">
        <v>398</v>
      </c>
      <c r="D11" s="2" t="s">
        <v>398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  <c r="K11" s="2"/>
    </row>
    <row r="12" spans="1:11" ht="26.4" x14ac:dyDescent="0.3">
      <c r="A12" s="2" t="s">
        <v>14</v>
      </c>
      <c r="B12" s="4" t="s">
        <v>406</v>
      </c>
      <c r="C12" s="4" t="s">
        <v>407</v>
      </c>
      <c r="D12" s="2" t="s">
        <v>418</v>
      </c>
      <c r="E12" s="2" t="s">
        <v>15</v>
      </c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/>
    </row>
    <row r="13" spans="1:11" ht="26.4" x14ac:dyDescent="0.3">
      <c r="A13" s="2" t="s">
        <v>14</v>
      </c>
      <c r="B13" s="4" t="s">
        <v>408</v>
      </c>
      <c r="C13" s="4" t="s">
        <v>409</v>
      </c>
      <c r="D13" s="2" t="s">
        <v>419</v>
      </c>
      <c r="E13" s="2" t="s">
        <v>15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/>
    </row>
    <row r="14" spans="1:11" ht="26.4" x14ac:dyDescent="0.3">
      <c r="A14" s="2" t="s">
        <v>14</v>
      </c>
      <c r="B14" s="4" t="s">
        <v>410</v>
      </c>
      <c r="C14" s="4" t="s">
        <v>411</v>
      </c>
      <c r="D14" s="2" t="s">
        <v>420</v>
      </c>
      <c r="E14" s="2" t="s">
        <v>15</v>
      </c>
      <c r="F14" s="2" t="s">
        <v>9</v>
      </c>
      <c r="G14" s="2" t="s">
        <v>10</v>
      </c>
      <c r="H14" s="2" t="s">
        <v>11</v>
      </c>
      <c r="I14" s="2" t="s">
        <v>12</v>
      </c>
      <c r="J14" s="2" t="s">
        <v>13</v>
      </c>
      <c r="K14" s="2"/>
    </row>
    <row r="15" spans="1:11" ht="26.4" x14ac:dyDescent="0.3">
      <c r="A15" s="2" t="s">
        <v>14</v>
      </c>
      <c r="B15" s="4" t="s">
        <v>412</v>
      </c>
      <c r="C15" s="4" t="s">
        <v>413</v>
      </c>
      <c r="D15" s="2" t="s">
        <v>421</v>
      </c>
      <c r="E15" s="2" t="s">
        <v>15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/>
    </row>
    <row r="16" spans="1:11" ht="26.4" x14ac:dyDescent="0.3">
      <c r="A16" s="2" t="s">
        <v>14</v>
      </c>
      <c r="B16" s="4" t="s">
        <v>414</v>
      </c>
      <c r="C16" s="4" t="s">
        <v>415</v>
      </c>
      <c r="D16" s="2" t="s">
        <v>421</v>
      </c>
      <c r="E16" s="2" t="s">
        <v>15</v>
      </c>
      <c r="F16" s="2" t="s">
        <v>9</v>
      </c>
      <c r="G16" s="2" t="s">
        <v>10</v>
      </c>
      <c r="H16" s="2" t="s">
        <v>11</v>
      </c>
      <c r="I16" s="2" t="s">
        <v>12</v>
      </c>
      <c r="J16" s="2" t="s">
        <v>13</v>
      </c>
      <c r="K16" s="2"/>
    </row>
    <row r="17" spans="1:11" ht="26.4" x14ac:dyDescent="0.3">
      <c r="A17" s="2" t="s">
        <v>14</v>
      </c>
      <c r="B17" s="4" t="s">
        <v>416</v>
      </c>
      <c r="C17" s="4" t="s">
        <v>417</v>
      </c>
      <c r="D17" s="2" t="s">
        <v>421</v>
      </c>
      <c r="E17" s="2" t="s">
        <v>15</v>
      </c>
      <c r="F17" s="2" t="s">
        <v>9</v>
      </c>
      <c r="G17" s="2" t="s">
        <v>10</v>
      </c>
      <c r="H17" s="2" t="s">
        <v>11</v>
      </c>
      <c r="I17" s="2" t="s">
        <v>12</v>
      </c>
      <c r="J17" s="2" t="s">
        <v>13</v>
      </c>
      <c r="K17" s="2"/>
    </row>
    <row r="18" spans="1:11" ht="52.8" x14ac:dyDescent="0.3">
      <c r="A18" s="2" t="s">
        <v>16</v>
      </c>
      <c r="B18" s="2" t="s">
        <v>16</v>
      </c>
      <c r="C18" s="2" t="str">
        <f>E18</f>
        <v>Diarreia e gastroenterite de origem infecciosa presumível</v>
      </c>
      <c r="D18" s="2" t="str">
        <f>C18</f>
        <v>Diarreia e gastroenterite de origem infecciosa presumível</v>
      </c>
      <c r="E18" s="2" t="s">
        <v>17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/>
    </row>
    <row r="19" spans="1:11" ht="26.4" x14ac:dyDescent="0.3">
      <c r="A19" s="2" t="s">
        <v>18</v>
      </c>
      <c r="B19" s="2" t="s">
        <v>422</v>
      </c>
      <c r="C19" s="2" t="s">
        <v>423</v>
      </c>
      <c r="D19" s="2" t="s">
        <v>430</v>
      </c>
      <c r="E19" s="2" t="s">
        <v>19</v>
      </c>
      <c r="F19" s="2" t="s">
        <v>9</v>
      </c>
      <c r="G19" s="2" t="s">
        <v>10</v>
      </c>
      <c r="H19" s="2" t="s">
        <v>11</v>
      </c>
      <c r="I19" s="2" t="s">
        <v>20</v>
      </c>
      <c r="J19" s="2" t="s">
        <v>13</v>
      </c>
      <c r="K19" s="2"/>
    </row>
    <row r="20" spans="1:11" ht="26.4" x14ac:dyDescent="0.3">
      <c r="A20" s="2" t="s">
        <v>18</v>
      </c>
      <c r="B20" s="2" t="s">
        <v>424</v>
      </c>
      <c r="C20" s="2" t="s">
        <v>425</v>
      </c>
      <c r="D20" s="2" t="s">
        <v>430</v>
      </c>
      <c r="E20" s="2" t="s">
        <v>19</v>
      </c>
      <c r="F20" s="2" t="s">
        <v>9</v>
      </c>
      <c r="G20" s="2" t="s">
        <v>10</v>
      </c>
      <c r="H20" s="2" t="s">
        <v>11</v>
      </c>
      <c r="I20" s="2" t="s">
        <v>20</v>
      </c>
      <c r="J20" s="2" t="s">
        <v>13</v>
      </c>
      <c r="K20" s="2"/>
    </row>
    <row r="21" spans="1:11" ht="26.4" x14ac:dyDescent="0.3">
      <c r="A21" s="2" t="s">
        <v>18</v>
      </c>
      <c r="B21" s="2" t="s">
        <v>426</v>
      </c>
      <c r="C21" s="2" t="s">
        <v>427</v>
      </c>
      <c r="D21" s="2" t="s">
        <v>430</v>
      </c>
      <c r="E21" s="2" t="s">
        <v>19</v>
      </c>
      <c r="F21" s="2" t="s">
        <v>9</v>
      </c>
      <c r="G21" s="2" t="s">
        <v>10</v>
      </c>
      <c r="H21" s="2" t="s">
        <v>11</v>
      </c>
      <c r="I21" s="2" t="s">
        <v>20</v>
      </c>
      <c r="J21" s="2" t="s">
        <v>13</v>
      </c>
      <c r="K21" s="2"/>
    </row>
    <row r="22" spans="1:11" ht="26.4" x14ac:dyDescent="0.3">
      <c r="A22" s="2" t="s">
        <v>18</v>
      </c>
      <c r="B22" s="2" t="s">
        <v>428</v>
      </c>
      <c r="C22" s="2" t="s">
        <v>429</v>
      </c>
      <c r="D22" s="2" t="s">
        <v>430</v>
      </c>
      <c r="E22" s="2" t="s">
        <v>19</v>
      </c>
      <c r="F22" s="2" t="s">
        <v>9</v>
      </c>
      <c r="G22" s="2" t="s">
        <v>10</v>
      </c>
      <c r="H22" s="2" t="s">
        <v>11</v>
      </c>
      <c r="I22" s="2" t="s">
        <v>20</v>
      </c>
      <c r="J22" s="2" t="s">
        <v>13</v>
      </c>
      <c r="K22" s="2"/>
    </row>
    <row r="23" spans="1:11" ht="26.4" x14ac:dyDescent="0.3">
      <c r="A23" s="2" t="s">
        <v>21</v>
      </c>
      <c r="B23" s="2" t="s">
        <v>431</v>
      </c>
      <c r="C23" s="2" t="s">
        <v>432</v>
      </c>
      <c r="D23" s="2" t="str">
        <f>C23</f>
        <v>Meningite meningocócica</v>
      </c>
      <c r="E23" s="2" t="s">
        <v>22</v>
      </c>
      <c r="F23" s="2" t="s">
        <v>9</v>
      </c>
      <c r="G23" s="2" t="s">
        <v>10</v>
      </c>
      <c r="H23" s="2" t="s">
        <v>11</v>
      </c>
      <c r="I23" s="2" t="s">
        <v>23</v>
      </c>
      <c r="J23" s="2" t="s">
        <v>13</v>
      </c>
      <c r="K23" s="2" t="s">
        <v>24</v>
      </c>
    </row>
    <row r="24" spans="1:11" ht="39.6" x14ac:dyDescent="0.3">
      <c r="A24" s="2" t="s">
        <v>21</v>
      </c>
      <c r="B24" s="2" t="s">
        <v>433</v>
      </c>
      <c r="C24" s="2" t="s">
        <v>434</v>
      </c>
      <c r="D24" s="2" t="str">
        <f>C24</f>
        <v>Síndrome de Waterhouse-Friderichsen</v>
      </c>
      <c r="E24" s="2" t="s">
        <v>22</v>
      </c>
      <c r="F24" s="2" t="s">
        <v>9</v>
      </c>
      <c r="G24" s="2" t="s">
        <v>10</v>
      </c>
      <c r="H24" s="2" t="s">
        <v>11</v>
      </c>
      <c r="I24" s="2" t="s">
        <v>23</v>
      </c>
      <c r="J24" s="2" t="s">
        <v>13</v>
      </c>
      <c r="K24" s="2"/>
    </row>
    <row r="25" spans="1:11" ht="26.4" x14ac:dyDescent="0.3">
      <c r="A25" s="2" t="s">
        <v>21</v>
      </c>
      <c r="B25" s="2" t="s">
        <v>435</v>
      </c>
      <c r="C25" s="2" t="s">
        <v>436</v>
      </c>
      <c r="D25" s="2" t="s">
        <v>447</v>
      </c>
      <c r="E25" s="2" t="s">
        <v>22</v>
      </c>
      <c r="F25" s="2" t="s">
        <v>9</v>
      </c>
      <c r="G25" s="2" t="s">
        <v>10</v>
      </c>
      <c r="H25" s="2" t="s">
        <v>11</v>
      </c>
      <c r="I25" s="2" t="s">
        <v>23</v>
      </c>
      <c r="J25" s="2" t="s">
        <v>13</v>
      </c>
      <c r="K25" s="2"/>
    </row>
    <row r="26" spans="1:11" ht="26.4" x14ac:dyDescent="0.3">
      <c r="A26" s="2" t="s">
        <v>21</v>
      </c>
      <c r="B26" s="2" t="s">
        <v>437</v>
      </c>
      <c r="C26" s="2" t="s">
        <v>438</v>
      </c>
      <c r="D26" s="2" t="s">
        <v>447</v>
      </c>
      <c r="E26" s="2" t="s">
        <v>22</v>
      </c>
      <c r="F26" s="2" t="s">
        <v>9</v>
      </c>
      <c r="G26" s="2" t="s">
        <v>10</v>
      </c>
      <c r="H26" s="2" t="s">
        <v>11</v>
      </c>
      <c r="I26" s="2" t="s">
        <v>23</v>
      </c>
      <c r="J26" s="2" t="s">
        <v>13</v>
      </c>
      <c r="K26" s="2"/>
    </row>
    <row r="27" spans="1:11" ht="26.4" x14ac:dyDescent="0.3">
      <c r="A27" s="2" t="s">
        <v>21</v>
      </c>
      <c r="B27" s="2" t="s">
        <v>439</v>
      </c>
      <c r="C27" s="2" t="s">
        <v>440</v>
      </c>
      <c r="D27" s="2" t="s">
        <v>447</v>
      </c>
      <c r="E27" s="2" t="s">
        <v>22</v>
      </c>
      <c r="F27" s="2" t="s">
        <v>9</v>
      </c>
      <c r="G27" s="2" t="s">
        <v>10</v>
      </c>
      <c r="H27" s="2" t="s">
        <v>11</v>
      </c>
      <c r="I27" s="2" t="s">
        <v>23</v>
      </c>
      <c r="J27" s="2" t="s">
        <v>13</v>
      </c>
      <c r="K27" s="2"/>
    </row>
    <row r="28" spans="1:11" ht="26.4" x14ac:dyDescent="0.3">
      <c r="A28" s="2" t="s">
        <v>21</v>
      </c>
      <c r="B28" s="2" t="s">
        <v>441</v>
      </c>
      <c r="C28" s="2" t="s">
        <v>442</v>
      </c>
      <c r="D28" s="2" t="s">
        <v>447</v>
      </c>
      <c r="E28" s="2" t="s">
        <v>22</v>
      </c>
      <c r="F28" s="2" t="s">
        <v>9</v>
      </c>
      <c r="G28" s="2" t="s">
        <v>10</v>
      </c>
      <c r="H28" s="2" t="s">
        <v>11</v>
      </c>
      <c r="I28" s="2" t="s">
        <v>23</v>
      </c>
      <c r="J28" s="2" t="s">
        <v>13</v>
      </c>
      <c r="K28" s="2"/>
    </row>
    <row r="29" spans="1:11" ht="26.4" x14ac:dyDescent="0.3">
      <c r="A29" s="2" t="s">
        <v>21</v>
      </c>
      <c r="B29" s="2" t="s">
        <v>443</v>
      </c>
      <c r="C29" s="2" t="s">
        <v>444</v>
      </c>
      <c r="D29" s="2" t="s">
        <v>447</v>
      </c>
      <c r="E29" s="2" t="s">
        <v>22</v>
      </c>
      <c r="F29" s="2" t="s">
        <v>9</v>
      </c>
      <c r="G29" s="2" t="s">
        <v>10</v>
      </c>
      <c r="H29" s="2" t="s">
        <v>11</v>
      </c>
      <c r="I29" s="2" t="s">
        <v>23</v>
      </c>
      <c r="J29" s="2" t="s">
        <v>13</v>
      </c>
      <c r="K29" s="2"/>
    </row>
    <row r="30" spans="1:11" ht="26.4" x14ac:dyDescent="0.3">
      <c r="A30" s="2" t="s">
        <v>21</v>
      </c>
      <c r="B30" s="2" t="s">
        <v>445</v>
      </c>
      <c r="C30" s="2" t="s">
        <v>446</v>
      </c>
      <c r="D30" s="2" t="s">
        <v>447</v>
      </c>
      <c r="E30" s="2" t="s">
        <v>22</v>
      </c>
      <c r="F30" s="2" t="s">
        <v>9</v>
      </c>
      <c r="G30" s="2" t="s">
        <v>10</v>
      </c>
      <c r="H30" s="2" t="s">
        <v>11</v>
      </c>
      <c r="I30" s="2" t="s">
        <v>23</v>
      </c>
      <c r="J30" s="2" t="s">
        <v>13</v>
      </c>
      <c r="K30" s="2"/>
    </row>
    <row r="31" spans="1:11" ht="26.4" x14ac:dyDescent="0.3">
      <c r="A31" s="2" t="s">
        <v>25</v>
      </c>
      <c r="B31" s="2" t="s">
        <v>448</v>
      </c>
      <c r="C31" s="2" t="s">
        <v>449</v>
      </c>
      <c r="D31" s="2" t="s">
        <v>464</v>
      </c>
      <c r="E31" s="2" t="s">
        <v>26</v>
      </c>
      <c r="F31" s="2" t="s">
        <v>9</v>
      </c>
      <c r="G31" s="2" t="s">
        <v>10</v>
      </c>
      <c r="H31" s="2" t="s">
        <v>11</v>
      </c>
      <c r="I31" s="2" t="s">
        <v>20</v>
      </c>
      <c r="J31" s="2" t="s">
        <v>27</v>
      </c>
      <c r="K31" s="2" t="s">
        <v>28</v>
      </c>
    </row>
    <row r="32" spans="1:11" ht="26.4" x14ac:dyDescent="0.3">
      <c r="A32" s="2" t="s">
        <v>25</v>
      </c>
      <c r="B32" s="2" t="s">
        <v>450</v>
      </c>
      <c r="C32" s="2" t="s">
        <v>451</v>
      </c>
      <c r="D32" s="2" t="s">
        <v>465</v>
      </c>
      <c r="E32" s="2" t="s">
        <v>26</v>
      </c>
      <c r="F32" s="2" t="s">
        <v>9</v>
      </c>
      <c r="G32" s="2" t="s">
        <v>10</v>
      </c>
      <c r="H32" s="2" t="s">
        <v>11</v>
      </c>
      <c r="I32" s="2" t="s">
        <v>20</v>
      </c>
      <c r="J32" s="2" t="s">
        <v>27</v>
      </c>
      <c r="K32" s="2"/>
    </row>
    <row r="33" spans="1:11" ht="26.4" x14ac:dyDescent="0.3">
      <c r="A33" s="2" t="s">
        <v>25</v>
      </c>
      <c r="B33" s="2" t="s">
        <v>452</v>
      </c>
      <c r="C33" s="2" t="s">
        <v>453</v>
      </c>
      <c r="D33" s="2" t="s">
        <v>465</v>
      </c>
      <c r="E33" s="2" t="s">
        <v>26</v>
      </c>
      <c r="F33" s="2" t="s">
        <v>9</v>
      </c>
      <c r="G33" s="2" t="s">
        <v>10</v>
      </c>
      <c r="H33" s="2" t="s">
        <v>11</v>
      </c>
      <c r="I33" s="2" t="s">
        <v>20</v>
      </c>
      <c r="J33" s="2" t="s">
        <v>27</v>
      </c>
      <c r="K33" s="2"/>
    </row>
    <row r="34" spans="1:11" ht="26.4" x14ac:dyDescent="0.3">
      <c r="A34" s="2" t="s">
        <v>25</v>
      </c>
      <c r="B34" s="2" t="s">
        <v>454</v>
      </c>
      <c r="C34" s="2" t="s">
        <v>455</v>
      </c>
      <c r="D34" s="2" t="s">
        <v>466</v>
      </c>
      <c r="E34" s="2" t="s">
        <v>26</v>
      </c>
      <c r="F34" s="2" t="s">
        <v>9</v>
      </c>
      <c r="G34" s="2" t="s">
        <v>10</v>
      </c>
      <c r="H34" s="2" t="s">
        <v>11</v>
      </c>
      <c r="I34" s="2" t="s">
        <v>20</v>
      </c>
      <c r="J34" s="2" t="s">
        <v>27</v>
      </c>
      <c r="K34" s="2"/>
    </row>
    <row r="35" spans="1:11" ht="26.4" x14ac:dyDescent="0.3">
      <c r="A35" s="2" t="s">
        <v>25</v>
      </c>
      <c r="B35" s="2" t="s">
        <v>456</v>
      </c>
      <c r="C35" s="2" t="s">
        <v>457</v>
      </c>
      <c r="D35" s="2" t="str">
        <f>C35</f>
        <v>Septicemia por anaeróbios</v>
      </c>
      <c r="E35" s="2" t="s">
        <v>26</v>
      </c>
      <c r="F35" s="2" t="s">
        <v>9</v>
      </c>
      <c r="G35" s="2" t="s">
        <v>10</v>
      </c>
      <c r="H35" s="2" t="s">
        <v>11</v>
      </c>
      <c r="I35" s="2" t="s">
        <v>20</v>
      </c>
      <c r="J35" s="2" t="s">
        <v>27</v>
      </c>
      <c r="K35" s="2"/>
    </row>
    <row r="36" spans="1:11" ht="39.6" x14ac:dyDescent="0.3">
      <c r="A36" s="2" t="s">
        <v>25</v>
      </c>
      <c r="B36" s="2" t="s">
        <v>458</v>
      </c>
      <c r="C36" s="2" t="s">
        <v>459</v>
      </c>
      <c r="D36" s="2" t="str">
        <f>C36</f>
        <v>Septicemia por outros microorganismos gram-negativos</v>
      </c>
      <c r="E36" s="2" t="s">
        <v>26</v>
      </c>
      <c r="F36" s="2" t="s">
        <v>9</v>
      </c>
      <c r="G36" s="2" t="s">
        <v>10</v>
      </c>
      <c r="H36" s="2" t="s">
        <v>11</v>
      </c>
      <c r="I36" s="2" t="s">
        <v>20</v>
      </c>
      <c r="J36" s="2" t="s">
        <v>27</v>
      </c>
      <c r="K36" s="2"/>
    </row>
    <row r="37" spans="1:11" ht="26.4" x14ac:dyDescent="0.3">
      <c r="A37" s="2" t="s">
        <v>25</v>
      </c>
      <c r="B37" s="2" t="s">
        <v>460</v>
      </c>
      <c r="C37" s="2" t="s">
        <v>461</v>
      </c>
      <c r="D37" s="2" t="s">
        <v>467</v>
      </c>
      <c r="E37" s="2" t="s">
        <v>26</v>
      </c>
      <c r="F37" s="2" t="s">
        <v>9</v>
      </c>
      <c r="G37" s="2" t="s">
        <v>10</v>
      </c>
      <c r="H37" s="2" t="s">
        <v>11</v>
      </c>
      <c r="I37" s="2" t="s">
        <v>20</v>
      </c>
      <c r="J37" s="2" t="s">
        <v>27</v>
      </c>
      <c r="K37" s="2"/>
    </row>
    <row r="38" spans="1:11" ht="26.4" x14ac:dyDescent="0.3">
      <c r="A38" s="2" t="s">
        <v>25</v>
      </c>
      <c r="B38" s="2" t="s">
        <v>462</v>
      </c>
      <c r="C38" s="2" t="s">
        <v>463</v>
      </c>
      <c r="D38" s="2" t="s">
        <v>467</v>
      </c>
      <c r="E38" s="2" t="s">
        <v>26</v>
      </c>
      <c r="F38" s="2" t="s">
        <v>9</v>
      </c>
      <c r="G38" s="2" t="s">
        <v>10</v>
      </c>
      <c r="H38" s="2" t="s">
        <v>11</v>
      </c>
      <c r="I38" s="2" t="s">
        <v>20</v>
      </c>
      <c r="J38" s="2" t="s">
        <v>27</v>
      </c>
      <c r="K38" s="2"/>
    </row>
    <row r="39" spans="1:11" ht="26.4" x14ac:dyDescent="0.3">
      <c r="A39" s="2" t="s">
        <v>29</v>
      </c>
      <c r="B39" s="2" t="s">
        <v>468</v>
      </c>
      <c r="C39" s="2" t="s">
        <v>469</v>
      </c>
      <c r="D39" s="2" t="str">
        <f>C39</f>
        <v>Gangrena gasosa</v>
      </c>
      <c r="E39" s="2" t="s">
        <v>30</v>
      </c>
      <c r="F39" s="2" t="s">
        <v>9</v>
      </c>
      <c r="G39" s="2" t="s">
        <v>10</v>
      </c>
      <c r="H39" s="2" t="s">
        <v>11</v>
      </c>
      <c r="I39" s="2" t="s">
        <v>20</v>
      </c>
      <c r="J39" s="2" t="s">
        <v>27</v>
      </c>
      <c r="K39" s="2"/>
    </row>
    <row r="40" spans="1:11" ht="26.4" x14ac:dyDescent="0.3">
      <c r="A40" s="2" t="s">
        <v>29</v>
      </c>
      <c r="B40" s="2" t="s">
        <v>470</v>
      </c>
      <c r="C40" s="2" t="s">
        <v>471</v>
      </c>
      <c r="D40" s="2" t="str">
        <f>C40</f>
        <v>Doença dos legionários</v>
      </c>
      <c r="E40" s="2" t="s">
        <v>30</v>
      </c>
      <c r="F40" s="2" t="s">
        <v>9</v>
      </c>
      <c r="G40" s="2" t="s">
        <v>10</v>
      </c>
      <c r="H40" s="2" t="s">
        <v>11</v>
      </c>
      <c r="I40" s="2" t="s">
        <v>20</v>
      </c>
      <c r="J40" s="2" t="s">
        <v>27</v>
      </c>
      <c r="K40" s="2"/>
    </row>
    <row r="41" spans="1:11" ht="52.8" x14ac:dyDescent="0.3">
      <c r="A41" s="2" t="s">
        <v>29</v>
      </c>
      <c r="B41" s="2" t="s">
        <v>472</v>
      </c>
      <c r="C41" s="2" t="s">
        <v>473</v>
      </c>
      <c r="D41" s="2" t="str">
        <f>C41</f>
        <v>Doença dos legionários não-pneumônica [febre de Pontiac]</v>
      </c>
      <c r="E41" s="2" t="s">
        <v>30</v>
      </c>
      <c r="F41" s="2" t="s">
        <v>9</v>
      </c>
      <c r="G41" s="2" t="s">
        <v>10</v>
      </c>
      <c r="H41" s="2" t="s">
        <v>11</v>
      </c>
      <c r="I41" s="2" t="s">
        <v>20</v>
      </c>
      <c r="J41" s="2" t="s">
        <v>27</v>
      </c>
      <c r="K41" s="2"/>
    </row>
    <row r="42" spans="1:11" ht="26.4" x14ac:dyDescent="0.3">
      <c r="A42" s="2" t="s">
        <v>29</v>
      </c>
      <c r="B42" s="2" t="s">
        <v>474</v>
      </c>
      <c r="C42" s="2" t="s">
        <v>475</v>
      </c>
      <c r="D42" s="2" t="str">
        <f>C42</f>
        <v>Síndrome do choque tóxico</v>
      </c>
      <c r="E42" s="2" t="s">
        <v>30</v>
      </c>
      <c r="F42" s="2" t="s">
        <v>9</v>
      </c>
      <c r="G42" s="2" t="s">
        <v>10</v>
      </c>
      <c r="H42" s="2" t="s">
        <v>11</v>
      </c>
      <c r="I42" s="2" t="s">
        <v>20</v>
      </c>
      <c r="J42" s="2" t="s">
        <v>27</v>
      </c>
      <c r="K42" s="2"/>
    </row>
    <row r="43" spans="1:11" ht="26.4" x14ac:dyDescent="0.3">
      <c r="A43" s="2" t="s">
        <v>29</v>
      </c>
      <c r="B43" s="2" t="s">
        <v>476</v>
      </c>
      <c r="C43" s="2" t="s">
        <v>477</v>
      </c>
      <c r="D43" s="2" t="str">
        <f>C43</f>
        <v>Febre purpúrica do Brasil</v>
      </c>
      <c r="E43" s="2" t="s">
        <v>30</v>
      </c>
      <c r="F43" s="2" t="s">
        <v>9</v>
      </c>
      <c r="G43" s="2" t="s">
        <v>10</v>
      </c>
      <c r="H43" s="2" t="s">
        <v>11</v>
      </c>
      <c r="I43" s="2" t="s">
        <v>20</v>
      </c>
      <c r="J43" s="2" t="s">
        <v>27</v>
      </c>
      <c r="K43" s="2"/>
    </row>
    <row r="44" spans="1:11" ht="39.6" x14ac:dyDescent="0.3">
      <c r="A44" s="2" t="s">
        <v>29</v>
      </c>
      <c r="B44" s="2" t="s">
        <v>478</v>
      </c>
      <c r="C44" s="2" t="s">
        <v>479</v>
      </c>
      <c r="D44" s="2" t="str">
        <f>C44</f>
        <v>Outras doenças bacterianas especificadas</v>
      </c>
      <c r="E44" s="2" t="s">
        <v>30</v>
      </c>
      <c r="F44" s="2" t="s">
        <v>9</v>
      </c>
      <c r="G44" s="2" t="s">
        <v>10</v>
      </c>
      <c r="H44" s="2" t="s">
        <v>11</v>
      </c>
      <c r="I44" s="2" t="s">
        <v>20</v>
      </c>
      <c r="J44" s="2" t="s">
        <v>27</v>
      </c>
      <c r="K44" s="2"/>
    </row>
    <row r="45" spans="1:11" ht="26.4" x14ac:dyDescent="0.3">
      <c r="A45" s="2" t="s">
        <v>31</v>
      </c>
      <c r="B45" s="2" t="s">
        <v>480</v>
      </c>
      <c r="C45" s="2" t="s">
        <v>481</v>
      </c>
      <c r="D45" s="2" t="s">
        <v>492</v>
      </c>
      <c r="E45" s="2" t="s">
        <v>32</v>
      </c>
      <c r="F45" s="2" t="s">
        <v>9</v>
      </c>
      <c r="G45" s="2" t="s">
        <v>10</v>
      </c>
      <c r="H45" s="2" t="s">
        <v>11</v>
      </c>
      <c r="I45" s="2" t="s">
        <v>20</v>
      </c>
      <c r="J45" s="2" t="s">
        <v>27</v>
      </c>
      <c r="K45" s="2"/>
    </row>
    <row r="46" spans="1:11" ht="26.4" x14ac:dyDescent="0.3">
      <c r="A46" s="2" t="s">
        <v>31</v>
      </c>
      <c r="B46" s="2" t="s">
        <v>482</v>
      </c>
      <c r="C46" s="2" t="s">
        <v>483</v>
      </c>
      <c r="D46" s="2" t="s">
        <v>492</v>
      </c>
      <c r="E46" s="2" t="s">
        <v>32</v>
      </c>
      <c r="F46" s="2" t="s">
        <v>9</v>
      </c>
      <c r="G46" s="2" t="s">
        <v>10</v>
      </c>
      <c r="H46" s="2" t="s">
        <v>11</v>
      </c>
      <c r="I46" s="2" t="s">
        <v>20</v>
      </c>
      <c r="J46" s="2" t="s">
        <v>27</v>
      </c>
      <c r="K46" s="2"/>
    </row>
    <row r="47" spans="1:11" ht="26.4" x14ac:dyDescent="0.3">
      <c r="A47" s="2" t="s">
        <v>31</v>
      </c>
      <c r="B47" s="2" t="s">
        <v>484</v>
      </c>
      <c r="C47" s="2" t="s">
        <v>485</v>
      </c>
      <c r="D47" s="2" t="s">
        <v>466</v>
      </c>
      <c r="E47" s="2" t="s">
        <v>32</v>
      </c>
      <c r="F47" s="2" t="s">
        <v>9</v>
      </c>
      <c r="G47" s="2" t="s">
        <v>10</v>
      </c>
      <c r="H47" s="2" t="s">
        <v>11</v>
      </c>
      <c r="I47" s="2" t="s">
        <v>20</v>
      </c>
      <c r="J47" s="2" t="s">
        <v>27</v>
      </c>
      <c r="K47" s="2"/>
    </row>
    <row r="48" spans="1:11" ht="26.4" x14ac:dyDescent="0.3">
      <c r="A48" s="2" t="s">
        <v>31</v>
      </c>
      <c r="B48" s="2" t="s">
        <v>486</v>
      </c>
      <c r="C48" s="2" t="s">
        <v>487</v>
      </c>
      <c r="D48" s="2" t="s">
        <v>493</v>
      </c>
      <c r="E48" s="2" t="s">
        <v>32</v>
      </c>
      <c r="F48" s="2" t="s">
        <v>9</v>
      </c>
      <c r="G48" s="2" t="s">
        <v>10</v>
      </c>
      <c r="H48" s="2" t="s">
        <v>11</v>
      </c>
      <c r="I48" s="2" t="s">
        <v>20</v>
      </c>
      <c r="J48" s="2" t="s">
        <v>27</v>
      </c>
      <c r="K48" s="2"/>
    </row>
    <row r="49" spans="1:11" ht="26.4" x14ac:dyDescent="0.3">
      <c r="A49" s="2" t="s">
        <v>31</v>
      </c>
      <c r="B49" s="2" t="s">
        <v>488</v>
      </c>
      <c r="C49" s="2" t="s">
        <v>489</v>
      </c>
      <c r="D49" s="2" t="s">
        <v>494</v>
      </c>
      <c r="E49" s="2" t="s">
        <v>32</v>
      </c>
      <c r="F49" s="2" t="s">
        <v>9</v>
      </c>
      <c r="G49" s="2" t="s">
        <v>10</v>
      </c>
      <c r="H49" s="2" t="s">
        <v>11</v>
      </c>
      <c r="I49" s="2" t="s">
        <v>20</v>
      </c>
      <c r="J49" s="2" t="s">
        <v>27</v>
      </c>
      <c r="K49" s="2"/>
    </row>
    <row r="50" spans="1:11" ht="26.4" x14ac:dyDescent="0.3">
      <c r="A50" s="2" t="s">
        <v>31</v>
      </c>
      <c r="B50" s="2" t="s">
        <v>490</v>
      </c>
      <c r="C50" s="2" t="s">
        <v>491</v>
      </c>
      <c r="D50" s="2" t="s">
        <v>494</v>
      </c>
      <c r="E50" s="2" t="s">
        <v>32</v>
      </c>
      <c r="F50" s="2" t="s">
        <v>9</v>
      </c>
      <c r="G50" s="2" t="s">
        <v>10</v>
      </c>
      <c r="H50" s="2" t="s">
        <v>11</v>
      </c>
      <c r="I50" s="2" t="s">
        <v>20</v>
      </c>
      <c r="J50" s="2" t="s">
        <v>27</v>
      </c>
      <c r="K50" s="2"/>
    </row>
    <row r="51" spans="1:11" ht="26.4" x14ac:dyDescent="0.3">
      <c r="A51" s="2" t="s">
        <v>33</v>
      </c>
      <c r="B51" s="2" t="str">
        <f>A51</f>
        <v>A50</v>
      </c>
      <c r="C51" s="2" t="str">
        <f>E51</f>
        <v>Sífilis congênita</v>
      </c>
      <c r="D51" s="2" t="str">
        <f>C51</f>
        <v>Sífilis congênita</v>
      </c>
      <c r="E51" s="2" t="s">
        <v>34</v>
      </c>
      <c r="F51" s="2" t="s">
        <v>9</v>
      </c>
      <c r="G51" s="2" t="s">
        <v>10</v>
      </c>
      <c r="H51" s="2" t="s">
        <v>11</v>
      </c>
      <c r="I51" s="2" t="s">
        <v>35</v>
      </c>
      <c r="J51" s="2" t="s">
        <v>13</v>
      </c>
      <c r="K51" s="2"/>
    </row>
    <row r="52" spans="1:11" ht="39.6" x14ac:dyDescent="0.3">
      <c r="A52" s="2" t="s">
        <v>36</v>
      </c>
      <c r="B52" s="2" t="str">
        <f>A52</f>
        <v>A53</v>
      </c>
      <c r="C52" s="2" t="str">
        <f>E52</f>
        <v>Sífilis não especificada e outras sífilis</v>
      </c>
      <c r="D52" s="2" t="str">
        <f>E52</f>
        <v>Sífilis não especificada e outras sífilis</v>
      </c>
      <c r="E52" s="2" t="s">
        <v>37</v>
      </c>
      <c r="F52" s="2" t="s">
        <v>9</v>
      </c>
      <c r="G52" s="2" t="s">
        <v>10</v>
      </c>
      <c r="H52" s="2" t="s">
        <v>11</v>
      </c>
      <c r="I52" s="2" t="s">
        <v>35</v>
      </c>
      <c r="J52" s="2" t="s">
        <v>27</v>
      </c>
      <c r="K52" s="2"/>
    </row>
    <row r="53" spans="1:11" ht="26.4" x14ac:dyDescent="0.3">
      <c r="A53" s="2" t="s">
        <v>38</v>
      </c>
      <c r="B53" s="2" t="s">
        <v>495</v>
      </c>
      <c r="C53" s="2" t="s">
        <v>496</v>
      </c>
      <c r="D53" s="2" t="s">
        <v>420</v>
      </c>
      <c r="E53" s="2" t="s">
        <v>39</v>
      </c>
      <c r="F53" s="2" t="s">
        <v>9</v>
      </c>
      <c r="G53" s="2" t="s">
        <v>10</v>
      </c>
      <c r="H53" s="2" t="s">
        <v>11</v>
      </c>
      <c r="I53" s="2" t="s">
        <v>20</v>
      </c>
      <c r="J53" s="2" t="s">
        <v>27</v>
      </c>
      <c r="K53" s="2" t="s">
        <v>40</v>
      </c>
    </row>
    <row r="54" spans="1:11" ht="26.4" x14ac:dyDescent="0.3">
      <c r="A54" s="2" t="s">
        <v>38</v>
      </c>
      <c r="B54" s="2" t="s">
        <v>497</v>
      </c>
      <c r="C54" s="2" t="s">
        <v>498</v>
      </c>
      <c r="D54" s="2" t="s">
        <v>509</v>
      </c>
      <c r="E54" s="2" t="s">
        <v>39</v>
      </c>
      <c r="F54" s="2" t="s">
        <v>9</v>
      </c>
      <c r="G54" s="2" t="s">
        <v>10</v>
      </c>
      <c r="H54" s="2" t="s">
        <v>11</v>
      </c>
      <c r="I54" s="2" t="s">
        <v>20</v>
      </c>
      <c r="J54" s="2" t="s">
        <v>27</v>
      </c>
      <c r="K54" s="2"/>
    </row>
    <row r="55" spans="1:11" ht="26.4" x14ac:dyDescent="0.3">
      <c r="A55" s="2" t="s">
        <v>38</v>
      </c>
      <c r="B55" s="2" t="s">
        <v>499</v>
      </c>
      <c r="C55" s="2" t="s">
        <v>500</v>
      </c>
      <c r="D55" s="2" t="s">
        <v>510</v>
      </c>
      <c r="E55" s="2" t="s">
        <v>39</v>
      </c>
      <c r="F55" s="2" t="s">
        <v>9</v>
      </c>
      <c r="G55" s="2" t="s">
        <v>10</v>
      </c>
      <c r="H55" s="2" t="s">
        <v>11</v>
      </c>
      <c r="I55" s="2" t="s">
        <v>20</v>
      </c>
      <c r="J55" s="2" t="s">
        <v>27</v>
      </c>
      <c r="K55" s="2"/>
    </row>
    <row r="56" spans="1:11" ht="26.4" x14ac:dyDescent="0.3">
      <c r="A56" s="2" t="s">
        <v>38</v>
      </c>
      <c r="B56" s="2" t="s">
        <v>501</v>
      </c>
      <c r="C56" s="2" t="s">
        <v>502</v>
      </c>
      <c r="D56" s="2" t="s">
        <v>511</v>
      </c>
      <c r="E56" s="2" t="s">
        <v>39</v>
      </c>
      <c r="F56" s="2" t="s">
        <v>9</v>
      </c>
      <c r="G56" s="2" t="s">
        <v>10</v>
      </c>
      <c r="H56" s="2" t="s">
        <v>11</v>
      </c>
      <c r="I56" s="2" t="s">
        <v>20</v>
      </c>
      <c r="J56" s="2" t="s">
        <v>27</v>
      </c>
      <c r="K56" s="2"/>
    </row>
    <row r="57" spans="1:11" ht="26.4" x14ac:dyDescent="0.3">
      <c r="A57" s="2" t="s">
        <v>38</v>
      </c>
      <c r="B57" s="2" t="s">
        <v>503</v>
      </c>
      <c r="C57" s="2" t="s">
        <v>504</v>
      </c>
      <c r="D57" s="2" t="s">
        <v>511</v>
      </c>
      <c r="E57" s="2" t="s">
        <v>39</v>
      </c>
      <c r="F57" s="2" t="s">
        <v>9</v>
      </c>
      <c r="G57" s="2" t="s">
        <v>10</v>
      </c>
      <c r="H57" s="2" t="s">
        <v>11</v>
      </c>
      <c r="I57" s="2" t="s">
        <v>20</v>
      </c>
      <c r="J57" s="2" t="s">
        <v>27</v>
      </c>
      <c r="K57" s="2"/>
    </row>
    <row r="58" spans="1:11" ht="26.4" x14ac:dyDescent="0.3">
      <c r="A58" s="2" t="s">
        <v>38</v>
      </c>
      <c r="B58" s="2" t="s">
        <v>505</v>
      </c>
      <c r="C58" s="2" t="s">
        <v>506</v>
      </c>
      <c r="D58" s="2" t="s">
        <v>512</v>
      </c>
      <c r="E58" s="2" t="s">
        <v>39</v>
      </c>
      <c r="F58" s="2" t="s">
        <v>9</v>
      </c>
      <c r="G58" s="2" t="s">
        <v>10</v>
      </c>
      <c r="H58" s="2" t="s">
        <v>11</v>
      </c>
      <c r="I58" s="2" t="s">
        <v>20</v>
      </c>
      <c r="J58" s="2" t="s">
        <v>27</v>
      </c>
      <c r="K58" s="2"/>
    </row>
    <row r="59" spans="1:11" ht="26.4" x14ac:dyDescent="0.3">
      <c r="A59" s="2" t="s">
        <v>38</v>
      </c>
      <c r="B59" s="2" t="s">
        <v>507</v>
      </c>
      <c r="C59" s="2" t="s">
        <v>508</v>
      </c>
      <c r="D59" s="2" t="s">
        <v>512</v>
      </c>
      <c r="E59" s="2" t="s">
        <v>39</v>
      </c>
      <c r="F59" s="2" t="s">
        <v>9</v>
      </c>
      <c r="G59" s="2" t="s">
        <v>10</v>
      </c>
      <c r="H59" s="2" t="s">
        <v>11</v>
      </c>
      <c r="I59" s="2" t="s">
        <v>20</v>
      </c>
      <c r="J59" s="2" t="s">
        <v>27</v>
      </c>
      <c r="K59" s="2"/>
    </row>
    <row r="60" spans="1:11" ht="26.4" x14ac:dyDescent="0.3">
      <c r="A60" s="2" t="s">
        <v>41</v>
      </c>
      <c r="B60" s="2" t="str">
        <f>A60</f>
        <v>B55</v>
      </c>
      <c r="C60" s="2" t="str">
        <f>D60</f>
        <v>Leishmaniose</v>
      </c>
      <c r="D60" s="2" t="str">
        <f>E60</f>
        <v>Leishmaniose</v>
      </c>
      <c r="E60" s="2" t="s">
        <v>42</v>
      </c>
      <c r="F60" s="2" t="s">
        <v>9</v>
      </c>
      <c r="G60" s="2" t="s">
        <v>10</v>
      </c>
      <c r="H60" s="2" t="s">
        <v>11</v>
      </c>
      <c r="I60" s="2" t="s">
        <v>43</v>
      </c>
      <c r="J60" s="2" t="s">
        <v>13</v>
      </c>
      <c r="K60" s="2"/>
    </row>
    <row r="61" spans="1:11" ht="39.6" x14ac:dyDescent="0.3">
      <c r="A61" s="2" t="s">
        <v>44</v>
      </c>
      <c r="B61" s="2" t="str">
        <f>A61</f>
        <v>B99</v>
      </c>
      <c r="C61" s="2" t="str">
        <f>E61</f>
        <v>Doenças infecciosas outras e as não especificadas</v>
      </c>
      <c r="D61" s="2" t="str">
        <f>E61</f>
        <v>Doenças infecciosas outras e as não especificadas</v>
      </c>
      <c r="E61" s="2" t="s">
        <v>45</v>
      </c>
      <c r="F61" s="2" t="s">
        <v>9</v>
      </c>
      <c r="G61" s="2" t="s">
        <v>10</v>
      </c>
      <c r="H61" s="2" t="s">
        <v>11</v>
      </c>
      <c r="I61" s="2" t="s">
        <v>20</v>
      </c>
      <c r="J61" s="2" t="s">
        <v>27</v>
      </c>
      <c r="K61" s="2"/>
    </row>
    <row r="62" spans="1:11" ht="26.4" x14ac:dyDescent="0.3">
      <c r="A62" s="2" t="s">
        <v>46</v>
      </c>
      <c r="B62" s="2" t="str">
        <f>A62</f>
        <v>C71</v>
      </c>
      <c r="C62" s="2" t="str">
        <f>E62</f>
        <v>Neoplasia maligna do encéfalo</v>
      </c>
      <c r="D62" s="2" t="str">
        <f>E62</f>
        <v>Neoplasia maligna do encéfalo</v>
      </c>
      <c r="E62" s="2" t="s">
        <v>47</v>
      </c>
      <c r="F62" s="2" t="s">
        <v>48</v>
      </c>
      <c r="G62" s="2" t="s">
        <v>49</v>
      </c>
      <c r="H62" s="2" t="s">
        <v>50</v>
      </c>
      <c r="I62" s="2" t="s">
        <v>51</v>
      </c>
      <c r="J62" s="2" t="s">
        <v>13</v>
      </c>
      <c r="K62" s="2"/>
    </row>
    <row r="63" spans="1:11" ht="26.4" x14ac:dyDescent="0.3">
      <c r="A63" s="2" t="s">
        <v>52</v>
      </c>
      <c r="B63" s="2" t="str">
        <f>A63</f>
        <v>C74</v>
      </c>
      <c r="C63" s="2" t="str">
        <f>E63</f>
        <v>Neoplasia maligna da glândula suprarrenal</v>
      </c>
      <c r="D63" s="2" t="str">
        <f>E63</f>
        <v>Neoplasia maligna da glândula suprarrenal</v>
      </c>
      <c r="E63" s="2" t="s">
        <v>53</v>
      </c>
      <c r="F63" s="2" t="s">
        <v>48</v>
      </c>
      <c r="G63" s="2" t="s">
        <v>49</v>
      </c>
      <c r="H63" s="2" t="s">
        <v>50</v>
      </c>
      <c r="I63" s="2" t="s">
        <v>54</v>
      </c>
      <c r="J63" s="2" t="s">
        <v>13</v>
      </c>
      <c r="K63" s="2" t="s">
        <v>55</v>
      </c>
    </row>
    <row r="64" spans="1:11" x14ac:dyDescent="0.3">
      <c r="A64" s="2" t="s">
        <v>56</v>
      </c>
      <c r="B64" s="2" t="str">
        <f>A64</f>
        <v>C91</v>
      </c>
      <c r="C64" s="2" t="str">
        <f>E64</f>
        <v>Leucemia linfoide</v>
      </c>
      <c r="D64" s="2" t="str">
        <f>E64</f>
        <v>Leucemia linfoide</v>
      </c>
      <c r="E64" s="2" t="s">
        <v>57</v>
      </c>
      <c r="F64" s="2" t="s">
        <v>48</v>
      </c>
      <c r="G64" s="2" t="s">
        <v>49</v>
      </c>
      <c r="H64" s="2" t="s">
        <v>50</v>
      </c>
      <c r="I64" s="2" t="s">
        <v>58</v>
      </c>
      <c r="J64" s="2" t="s">
        <v>13</v>
      </c>
      <c r="K64" s="2"/>
    </row>
    <row r="65" spans="1:11" x14ac:dyDescent="0.3">
      <c r="A65" s="2" t="s">
        <v>59</v>
      </c>
      <c r="B65" s="2" t="str">
        <f>A65</f>
        <v>C92</v>
      </c>
      <c r="C65" s="2" t="str">
        <f>E65</f>
        <v>Leucemia mieloide</v>
      </c>
      <c r="D65" s="2" t="str">
        <f>E65</f>
        <v>Leucemia mieloide</v>
      </c>
      <c r="E65" s="2" t="s">
        <v>60</v>
      </c>
      <c r="F65" s="2" t="s">
        <v>48</v>
      </c>
      <c r="G65" s="2" t="s">
        <v>49</v>
      </c>
      <c r="H65" s="2" t="s">
        <v>50</v>
      </c>
      <c r="I65" s="2" t="s">
        <v>58</v>
      </c>
      <c r="J65" s="2" t="s">
        <v>13</v>
      </c>
      <c r="K65" s="2"/>
    </row>
    <row r="66" spans="1:11" ht="26.4" x14ac:dyDescent="0.3">
      <c r="A66" s="2" t="s">
        <v>61</v>
      </c>
      <c r="B66" s="2" t="str">
        <f>A66</f>
        <v>D57</v>
      </c>
      <c r="C66" s="2" t="str">
        <f>E66</f>
        <v>Transtornos falciformes</v>
      </c>
      <c r="D66" s="2" t="str">
        <f>E66</f>
        <v>Transtornos falciformes</v>
      </c>
      <c r="E66" s="2" t="s">
        <v>62</v>
      </c>
      <c r="F66" s="2" t="s">
        <v>63</v>
      </c>
      <c r="G66" s="2" t="s">
        <v>64</v>
      </c>
      <c r="H66" s="2" t="s">
        <v>65</v>
      </c>
      <c r="I66" s="2" t="s">
        <v>66</v>
      </c>
      <c r="J66" s="2" t="s">
        <v>13</v>
      </c>
      <c r="K66" s="2" t="s">
        <v>67</v>
      </c>
    </row>
    <row r="67" spans="1:11" ht="39.6" x14ac:dyDescent="0.3">
      <c r="A67" s="2" t="s">
        <v>68</v>
      </c>
      <c r="B67" s="2" t="str">
        <f>A67</f>
        <v>E43</v>
      </c>
      <c r="C67" s="2" t="str">
        <f>E67</f>
        <v>Desnutrição proteico-calórica grave não especificada</v>
      </c>
      <c r="D67" s="2" t="str">
        <f>E67</f>
        <v>Desnutrição proteico-calórica grave não especificada</v>
      </c>
      <c r="E67" s="2" t="s">
        <v>69</v>
      </c>
      <c r="F67" s="2" t="s">
        <v>70</v>
      </c>
      <c r="G67" s="2" t="s">
        <v>71</v>
      </c>
      <c r="H67" s="2" t="s">
        <v>72</v>
      </c>
      <c r="I67" s="2" t="s">
        <v>73</v>
      </c>
      <c r="J67" s="2" t="s">
        <v>27</v>
      </c>
      <c r="K67" s="2" t="s">
        <v>855</v>
      </c>
    </row>
    <row r="68" spans="1:11" ht="39.6" x14ac:dyDescent="0.3">
      <c r="A68" s="2" t="s">
        <v>74</v>
      </c>
      <c r="B68" s="2" t="str">
        <f>A68</f>
        <v>E46</v>
      </c>
      <c r="C68" s="2" t="str">
        <f>E68</f>
        <v>Desnutrição proteico-calórica não especificada</v>
      </c>
      <c r="D68" s="2" t="str">
        <f>E68</f>
        <v>Desnutrição proteico-calórica não especificada</v>
      </c>
      <c r="E68" s="2" t="s">
        <v>75</v>
      </c>
      <c r="F68" s="2" t="s">
        <v>70</v>
      </c>
      <c r="G68" s="2" t="s">
        <v>71</v>
      </c>
      <c r="H68" s="2" t="s">
        <v>72</v>
      </c>
      <c r="I68" s="2" t="s">
        <v>73</v>
      </c>
      <c r="J68" s="2" t="s">
        <v>27</v>
      </c>
      <c r="K68" s="2" t="s">
        <v>855</v>
      </c>
    </row>
    <row r="69" spans="1:11" ht="26.4" x14ac:dyDescent="0.3">
      <c r="A69" s="2" t="s">
        <v>76</v>
      </c>
      <c r="B69" s="2" t="str">
        <f>A69</f>
        <v>E86</v>
      </c>
      <c r="C69" s="2" t="str">
        <f>E69</f>
        <v>Depleção de volume (desidratação)</v>
      </c>
      <c r="D69" s="2" t="str">
        <f>C69</f>
        <v>Depleção de volume (desidratação)</v>
      </c>
      <c r="E69" s="2" t="s">
        <v>77</v>
      </c>
      <c r="F69" s="2" t="s">
        <v>70</v>
      </c>
      <c r="G69" s="2" t="s">
        <v>71</v>
      </c>
      <c r="H69" s="2" t="s">
        <v>72</v>
      </c>
      <c r="I69" s="2" t="s">
        <v>78</v>
      </c>
      <c r="J69" s="2" t="s">
        <v>13</v>
      </c>
      <c r="K69" s="2"/>
    </row>
    <row r="70" spans="1:11" ht="52.8" x14ac:dyDescent="0.3">
      <c r="A70" s="2" t="s">
        <v>79</v>
      </c>
      <c r="B70" s="2" t="str">
        <f>A70</f>
        <v>E87</v>
      </c>
      <c r="C70" s="2" t="str">
        <f>E70</f>
        <v>Outros transtornos do equilíbrio hidroeletrolítico e ácido-base</v>
      </c>
      <c r="D70" s="2" t="str">
        <f>C70</f>
        <v>Outros transtornos do equilíbrio hidroeletrolítico e ácido-base</v>
      </c>
      <c r="E70" s="2" t="s">
        <v>80</v>
      </c>
      <c r="F70" s="2" t="s">
        <v>70</v>
      </c>
      <c r="G70" s="2" t="s">
        <v>71</v>
      </c>
      <c r="H70" s="2" t="s">
        <v>72</v>
      </c>
      <c r="I70" s="2" t="s">
        <v>78</v>
      </c>
      <c r="J70" s="2" t="s">
        <v>13</v>
      </c>
      <c r="K70" s="2"/>
    </row>
    <row r="71" spans="1:11" ht="26.4" x14ac:dyDescent="0.3">
      <c r="A71" s="2" t="s">
        <v>81</v>
      </c>
      <c r="B71" s="2" t="str">
        <f>A71</f>
        <v>G00</v>
      </c>
      <c r="C71" s="2" t="str">
        <f>E71</f>
        <v>Meningite bacteriana não classificada em outra parte</v>
      </c>
      <c r="D71" s="2" t="s">
        <v>513</v>
      </c>
      <c r="E71" s="2" t="s">
        <v>82</v>
      </c>
      <c r="F71" s="2" t="s">
        <v>83</v>
      </c>
      <c r="G71" s="2" t="s">
        <v>84</v>
      </c>
      <c r="H71" s="2" t="s">
        <v>85</v>
      </c>
      <c r="I71" s="2" t="s">
        <v>23</v>
      </c>
      <c r="J71" s="2" t="s">
        <v>13</v>
      </c>
      <c r="K71" s="2"/>
    </row>
    <row r="72" spans="1:11" x14ac:dyDescent="0.3">
      <c r="A72" s="2" t="s">
        <v>86</v>
      </c>
      <c r="B72" s="2" t="str">
        <f>A72</f>
        <v>G40</v>
      </c>
      <c r="C72" s="2" t="str">
        <f>E72</f>
        <v>Epilepsia</v>
      </c>
      <c r="D72" s="2" t="str">
        <f>E72</f>
        <v>Epilepsia</v>
      </c>
      <c r="E72" s="2" t="s">
        <v>87</v>
      </c>
      <c r="F72" s="2" t="s">
        <v>83</v>
      </c>
      <c r="G72" s="2" t="s">
        <v>84</v>
      </c>
      <c r="H72" s="2" t="s">
        <v>85</v>
      </c>
      <c r="I72" s="2" t="s">
        <v>88</v>
      </c>
      <c r="J72" s="2" t="s">
        <v>13</v>
      </c>
      <c r="K72" s="2"/>
    </row>
    <row r="73" spans="1:11" ht="26.4" x14ac:dyDescent="0.3">
      <c r="A73" s="2" t="s">
        <v>89</v>
      </c>
      <c r="B73" s="2" t="str">
        <f>A73</f>
        <v>G80</v>
      </c>
      <c r="C73" s="2" t="str">
        <f>E73</f>
        <v>Paralisia cerebral infantil</v>
      </c>
      <c r="D73" s="2" t="str">
        <f>E73</f>
        <v>Paralisia cerebral infantil</v>
      </c>
      <c r="E73" s="2" t="s">
        <v>90</v>
      </c>
      <c r="F73" s="2" t="s">
        <v>83</v>
      </c>
      <c r="G73" s="2" t="s">
        <v>84</v>
      </c>
      <c r="H73" s="2" t="s">
        <v>85</v>
      </c>
      <c r="I73" s="2" t="s">
        <v>88</v>
      </c>
      <c r="J73" s="2" t="s">
        <v>13</v>
      </c>
      <c r="K73" s="2"/>
    </row>
    <row r="74" spans="1:11" x14ac:dyDescent="0.3">
      <c r="A74" s="2" t="s">
        <v>91</v>
      </c>
      <c r="B74" s="2" t="str">
        <f>A74</f>
        <v>G91</v>
      </c>
      <c r="C74" s="2" t="str">
        <f>E74</f>
        <v>Hidrocefalia</v>
      </c>
      <c r="D74" s="2" t="str">
        <f>E74</f>
        <v>Hidrocefalia</v>
      </c>
      <c r="E74" s="2" t="s">
        <v>92</v>
      </c>
      <c r="F74" s="2" t="s">
        <v>83</v>
      </c>
      <c r="G74" s="2" t="s">
        <v>84</v>
      </c>
      <c r="H74" s="2" t="s">
        <v>85</v>
      </c>
      <c r="I74" s="2" t="s">
        <v>88</v>
      </c>
      <c r="J74" s="2" t="s">
        <v>13</v>
      </c>
      <c r="K74" s="2"/>
    </row>
    <row r="75" spans="1:11" x14ac:dyDescent="0.3">
      <c r="A75" s="2" t="s">
        <v>93</v>
      </c>
      <c r="B75" s="2" t="s">
        <v>514</v>
      </c>
      <c r="C75" s="2" t="s">
        <v>515</v>
      </c>
      <c r="D75" s="2" t="str">
        <f>C75</f>
        <v>Cistos cerebrais</v>
      </c>
      <c r="E75" s="2" t="s">
        <v>94</v>
      </c>
      <c r="F75" s="2" t="s">
        <v>83</v>
      </c>
      <c r="G75" s="2" t="s">
        <v>84</v>
      </c>
      <c r="H75" s="2" t="s">
        <v>85</v>
      </c>
      <c r="I75" s="2" t="s">
        <v>88</v>
      </c>
      <c r="J75" s="2" t="s">
        <v>27</v>
      </c>
      <c r="K75" s="2"/>
    </row>
    <row r="76" spans="1:11" ht="52.8" x14ac:dyDescent="0.3">
      <c r="A76" s="2" t="s">
        <v>93</v>
      </c>
      <c r="B76" s="2" t="s">
        <v>516</v>
      </c>
      <c r="C76" s="2" t="s">
        <v>517</v>
      </c>
      <c r="D76" s="2" t="str">
        <f>C76</f>
        <v>Lesão encefálica anóxica, não classificada em outra parte</v>
      </c>
      <c r="E76" s="2" t="s">
        <v>94</v>
      </c>
      <c r="F76" s="2" t="s">
        <v>83</v>
      </c>
      <c r="G76" s="2" t="s">
        <v>84</v>
      </c>
      <c r="H76" s="2" t="s">
        <v>85</v>
      </c>
      <c r="I76" s="2" t="s">
        <v>88</v>
      </c>
      <c r="J76" s="2" t="s">
        <v>27</v>
      </c>
      <c r="K76" s="2"/>
    </row>
    <row r="77" spans="1:11" ht="26.4" x14ac:dyDescent="0.3">
      <c r="A77" s="2" t="s">
        <v>93</v>
      </c>
      <c r="B77" s="2" t="s">
        <v>518</v>
      </c>
      <c r="C77" s="2" t="s">
        <v>519</v>
      </c>
      <c r="D77" s="2" t="str">
        <f>C77</f>
        <v>Hipertensão intracraniana benigna</v>
      </c>
      <c r="E77" s="2" t="s">
        <v>94</v>
      </c>
      <c r="F77" s="2" t="s">
        <v>83</v>
      </c>
      <c r="G77" s="2" t="s">
        <v>84</v>
      </c>
      <c r="H77" s="2" t="s">
        <v>85</v>
      </c>
      <c r="I77" s="2" t="s">
        <v>88</v>
      </c>
      <c r="J77" s="2" t="s">
        <v>27</v>
      </c>
      <c r="K77" s="2"/>
    </row>
    <row r="78" spans="1:11" ht="26.4" x14ac:dyDescent="0.3">
      <c r="A78" s="2" t="s">
        <v>93</v>
      </c>
      <c r="B78" s="2" t="s">
        <v>520</v>
      </c>
      <c r="C78" s="2" t="s">
        <v>521</v>
      </c>
      <c r="D78" s="2" t="str">
        <f>C78</f>
        <v>Síndrome da fadiga pós-viral</v>
      </c>
      <c r="E78" s="2" t="s">
        <v>94</v>
      </c>
      <c r="F78" s="2" t="s">
        <v>83</v>
      </c>
      <c r="G78" s="2" t="s">
        <v>84</v>
      </c>
      <c r="H78" s="2" t="s">
        <v>85</v>
      </c>
      <c r="I78" s="2" t="s">
        <v>88</v>
      </c>
      <c r="J78" s="2" t="s">
        <v>27</v>
      </c>
      <c r="K78" s="2"/>
    </row>
    <row r="79" spans="1:11" ht="26.4" x14ac:dyDescent="0.3">
      <c r="A79" s="2" t="s">
        <v>93</v>
      </c>
      <c r="B79" s="2" t="s">
        <v>522</v>
      </c>
      <c r="C79" s="2" t="s">
        <v>523</v>
      </c>
      <c r="D79" s="2" t="str">
        <f>C79</f>
        <v>Encefalopatia não especificada</v>
      </c>
      <c r="E79" s="2" t="s">
        <v>94</v>
      </c>
      <c r="F79" s="2" t="s">
        <v>83</v>
      </c>
      <c r="G79" s="2" t="s">
        <v>84</v>
      </c>
      <c r="H79" s="2" t="s">
        <v>85</v>
      </c>
      <c r="I79" s="2" t="s">
        <v>88</v>
      </c>
      <c r="J79" s="2" t="s">
        <v>27</v>
      </c>
      <c r="K79" s="2"/>
    </row>
    <row r="80" spans="1:11" ht="26.4" x14ac:dyDescent="0.3">
      <c r="A80" s="2" t="s">
        <v>93</v>
      </c>
      <c r="B80" s="2" t="s">
        <v>524</v>
      </c>
      <c r="C80" s="2" t="s">
        <v>525</v>
      </c>
      <c r="D80" s="2" t="str">
        <f>C80</f>
        <v>Compressão do encéfalo</v>
      </c>
      <c r="E80" s="2" t="s">
        <v>94</v>
      </c>
      <c r="F80" s="2" t="s">
        <v>83</v>
      </c>
      <c r="G80" s="2" t="s">
        <v>84</v>
      </c>
      <c r="H80" s="2" t="s">
        <v>85</v>
      </c>
      <c r="I80" s="2" t="s">
        <v>88</v>
      </c>
      <c r="J80" s="2" t="s">
        <v>27</v>
      </c>
      <c r="K80" s="2"/>
    </row>
    <row r="81" spans="1:11" x14ac:dyDescent="0.3">
      <c r="A81" s="2" t="s">
        <v>93</v>
      </c>
      <c r="B81" s="2" t="s">
        <v>526</v>
      </c>
      <c r="C81" s="2" t="s">
        <v>527</v>
      </c>
      <c r="D81" s="2" t="str">
        <f>C81</f>
        <v>Edema cerebral</v>
      </c>
      <c r="E81" s="2" t="s">
        <v>94</v>
      </c>
      <c r="F81" s="2" t="s">
        <v>83</v>
      </c>
      <c r="G81" s="2" t="s">
        <v>84</v>
      </c>
      <c r="H81" s="2" t="s">
        <v>85</v>
      </c>
      <c r="I81" s="2" t="s">
        <v>88</v>
      </c>
      <c r="J81" s="2" t="s">
        <v>27</v>
      </c>
      <c r="K81" s="2"/>
    </row>
    <row r="82" spans="1:11" x14ac:dyDescent="0.3">
      <c r="A82" s="2" t="s">
        <v>93</v>
      </c>
      <c r="B82" s="2" t="s">
        <v>528</v>
      </c>
      <c r="C82" s="2" t="s">
        <v>529</v>
      </c>
      <c r="D82" s="2" t="str">
        <f>C82</f>
        <v>Síndrome de Reye</v>
      </c>
      <c r="E82" s="2" t="s">
        <v>94</v>
      </c>
      <c r="F82" s="2" t="s">
        <v>83</v>
      </c>
      <c r="G82" s="2" t="s">
        <v>84</v>
      </c>
      <c r="H82" s="2" t="s">
        <v>85</v>
      </c>
      <c r="I82" s="2" t="s">
        <v>88</v>
      </c>
      <c r="J82" s="2" t="s">
        <v>27</v>
      </c>
      <c r="K82" s="2"/>
    </row>
    <row r="83" spans="1:11" ht="39.6" x14ac:dyDescent="0.3">
      <c r="A83" s="2" t="s">
        <v>93</v>
      </c>
      <c r="B83" s="2" t="s">
        <v>530</v>
      </c>
      <c r="C83" s="2" t="s">
        <v>531</v>
      </c>
      <c r="D83" s="2" t="str">
        <f>C83</f>
        <v>Outros transtornos especificados do encéfalo</v>
      </c>
      <c r="E83" s="2" t="s">
        <v>94</v>
      </c>
      <c r="F83" s="2" t="s">
        <v>83</v>
      </c>
      <c r="G83" s="2" t="s">
        <v>84</v>
      </c>
      <c r="H83" s="2" t="s">
        <v>85</v>
      </c>
      <c r="I83" s="2" t="s">
        <v>88</v>
      </c>
      <c r="J83" s="2" t="s">
        <v>27</v>
      </c>
      <c r="K83" s="2"/>
    </row>
    <row r="84" spans="1:11" ht="39.6" x14ac:dyDescent="0.3">
      <c r="A84" s="2" t="s">
        <v>93</v>
      </c>
      <c r="B84" s="2" t="s">
        <v>532</v>
      </c>
      <c r="C84" s="2" t="s">
        <v>533</v>
      </c>
      <c r="D84" s="2" t="str">
        <f>C84</f>
        <v>Transtorno não especificado do encéfalo</v>
      </c>
      <c r="E84" s="2" t="s">
        <v>94</v>
      </c>
      <c r="F84" s="2" t="s">
        <v>83</v>
      </c>
      <c r="G84" s="2" t="s">
        <v>84</v>
      </c>
      <c r="H84" s="2" t="s">
        <v>85</v>
      </c>
      <c r="I84" s="2" t="s">
        <v>88</v>
      </c>
      <c r="J84" s="2" t="s">
        <v>27</v>
      </c>
      <c r="K84" s="2"/>
    </row>
    <row r="85" spans="1:11" x14ac:dyDescent="0.3">
      <c r="A85" s="2" t="s">
        <v>95</v>
      </c>
      <c r="B85" s="2" t="str">
        <f>A85</f>
        <v>I42</v>
      </c>
      <c r="C85" s="2" t="str">
        <f>E85</f>
        <v>Cardiomiopatia</v>
      </c>
      <c r="D85" s="2" t="str">
        <f>E85</f>
        <v>Cardiomiopatia</v>
      </c>
      <c r="E85" s="2" t="s">
        <v>96</v>
      </c>
      <c r="F85" s="2" t="s">
        <v>97</v>
      </c>
      <c r="G85" s="2" t="s">
        <v>98</v>
      </c>
      <c r="H85" s="2" t="s">
        <v>99</v>
      </c>
      <c r="I85" s="2" t="s">
        <v>100</v>
      </c>
      <c r="J85" s="2" t="s">
        <v>13</v>
      </c>
      <c r="K85" s="2"/>
    </row>
    <row r="86" spans="1:11" ht="26.4" x14ac:dyDescent="0.3">
      <c r="A86" s="2" t="s">
        <v>101</v>
      </c>
      <c r="B86" s="2" t="str">
        <f>A86</f>
        <v>J06</v>
      </c>
      <c r="C86" s="2" t="str">
        <f>E86</f>
        <v>Infecções agudas das vias aéreas superiores de localizações múltiplas ou não especificadas</v>
      </c>
      <c r="D86" s="2" t="s">
        <v>534</v>
      </c>
      <c r="E86" s="2" t="s">
        <v>102</v>
      </c>
      <c r="F86" s="2" t="s">
        <v>103</v>
      </c>
      <c r="G86" s="2" t="s">
        <v>104</v>
      </c>
      <c r="H86" s="2" t="s">
        <v>105</v>
      </c>
      <c r="I86" s="2" t="s">
        <v>106</v>
      </c>
      <c r="J86" s="2" t="s">
        <v>27</v>
      </c>
      <c r="K86" s="2" t="s">
        <v>855</v>
      </c>
    </row>
    <row r="87" spans="1:11" x14ac:dyDescent="0.3">
      <c r="A87" s="2" t="s">
        <v>107</v>
      </c>
      <c r="B87" s="2" t="str">
        <f>A87</f>
        <v>J12</v>
      </c>
      <c r="C87" s="2" t="str">
        <f>E87</f>
        <v>Pneumonia viral não classificada em outra parte</v>
      </c>
      <c r="D87" s="2" t="s">
        <v>535</v>
      </c>
      <c r="E87" s="2" t="s">
        <v>108</v>
      </c>
      <c r="F87" s="2" t="s">
        <v>103</v>
      </c>
      <c r="G87" s="2" t="s">
        <v>104</v>
      </c>
      <c r="H87" s="2" t="s">
        <v>105</v>
      </c>
      <c r="I87" s="2" t="s">
        <v>109</v>
      </c>
      <c r="J87" s="2" t="s">
        <v>13</v>
      </c>
      <c r="K87" s="2"/>
    </row>
    <row r="88" spans="1:11" ht="26.4" x14ac:dyDescent="0.3">
      <c r="A88" s="2" t="s">
        <v>110</v>
      </c>
      <c r="B88" s="2" t="str">
        <f>A88</f>
        <v>J15</v>
      </c>
      <c r="C88" s="2" t="str">
        <f>E88</f>
        <v>Pneumonia bacteriana não classificada em outra parte</v>
      </c>
      <c r="D88" s="2" t="s">
        <v>536</v>
      </c>
      <c r="E88" s="2" t="s">
        <v>111</v>
      </c>
      <c r="F88" s="2" t="s">
        <v>103</v>
      </c>
      <c r="G88" s="2" t="s">
        <v>104</v>
      </c>
      <c r="H88" s="2" t="s">
        <v>105</v>
      </c>
      <c r="I88" s="2" t="s">
        <v>109</v>
      </c>
      <c r="J88" s="2" t="s">
        <v>13</v>
      </c>
      <c r="K88" s="2"/>
    </row>
    <row r="89" spans="1:11" ht="26.4" x14ac:dyDescent="0.3">
      <c r="A89" s="2" t="s">
        <v>112</v>
      </c>
      <c r="B89" s="2" t="s">
        <v>856</v>
      </c>
      <c r="C89" s="2" t="s">
        <v>857</v>
      </c>
      <c r="D89" s="2" t="str">
        <f>C89</f>
        <v>Broncopneumonia não especificada</v>
      </c>
      <c r="E89" s="2" t="s">
        <v>113</v>
      </c>
      <c r="F89" s="2" t="s">
        <v>103</v>
      </c>
      <c r="G89" s="2" t="s">
        <v>104</v>
      </c>
      <c r="H89" s="2" t="s">
        <v>105</v>
      </c>
      <c r="I89" s="2" t="s">
        <v>109</v>
      </c>
      <c r="J89" s="2" t="s">
        <v>27</v>
      </c>
      <c r="K89" s="2"/>
    </row>
    <row r="90" spans="1:11" ht="26.4" x14ac:dyDescent="0.3">
      <c r="A90" s="2" t="s">
        <v>112</v>
      </c>
      <c r="B90" s="2" t="s">
        <v>858</v>
      </c>
      <c r="C90" s="2" t="s">
        <v>859</v>
      </c>
      <c r="D90" s="2" t="str">
        <f t="shared" ref="D90:D91" si="0">C90</f>
        <v>Pneumonia lobar não especificada</v>
      </c>
      <c r="E90" s="2" t="s">
        <v>113</v>
      </c>
      <c r="F90" s="2" t="s">
        <v>103</v>
      </c>
      <c r="G90" s="2" t="s">
        <v>104</v>
      </c>
      <c r="H90" s="2" t="s">
        <v>105</v>
      </c>
      <c r="I90" s="2" t="s">
        <v>109</v>
      </c>
      <c r="J90" s="2" t="s">
        <v>27</v>
      </c>
      <c r="K90" s="2"/>
    </row>
    <row r="91" spans="1:11" ht="39.6" x14ac:dyDescent="0.3">
      <c r="A91" s="2" t="s">
        <v>112</v>
      </c>
      <c r="B91" s="2" t="s">
        <v>860</v>
      </c>
      <c r="C91" s="2" t="s">
        <v>861</v>
      </c>
      <c r="D91" s="2" t="str">
        <f t="shared" si="0"/>
        <v>Pneumonia hipostática não especificada</v>
      </c>
      <c r="E91" s="2" t="s">
        <v>113</v>
      </c>
      <c r="F91" s="2" t="s">
        <v>103</v>
      </c>
      <c r="G91" s="2" t="s">
        <v>104</v>
      </c>
      <c r="H91" s="2" t="s">
        <v>105</v>
      </c>
      <c r="I91" s="2" t="s">
        <v>109</v>
      </c>
      <c r="J91" s="2" t="s">
        <v>27</v>
      </c>
      <c r="K91" s="2"/>
    </row>
    <row r="92" spans="1:11" ht="39.6" x14ac:dyDescent="0.3">
      <c r="A92" s="2" t="s">
        <v>112</v>
      </c>
      <c r="B92" s="2" t="s">
        <v>862</v>
      </c>
      <c r="C92" s="2" t="s">
        <v>863</v>
      </c>
      <c r="D92" s="2" t="str">
        <f>E92</f>
        <v>Pneumonia por microrganismo não especificado</v>
      </c>
      <c r="E92" s="2" t="s">
        <v>113</v>
      </c>
      <c r="F92" s="2" t="s">
        <v>103</v>
      </c>
      <c r="G92" s="2" t="s">
        <v>104</v>
      </c>
      <c r="H92" s="2" t="s">
        <v>105</v>
      </c>
      <c r="I92" s="2" t="s">
        <v>109</v>
      </c>
      <c r="J92" s="2" t="s">
        <v>27</v>
      </c>
      <c r="K92" s="2"/>
    </row>
    <row r="93" spans="1:11" ht="39.6" x14ac:dyDescent="0.3">
      <c r="A93" s="2" t="s">
        <v>112</v>
      </c>
      <c r="B93" s="2" t="s">
        <v>864</v>
      </c>
      <c r="C93" s="2" t="s">
        <v>865</v>
      </c>
      <c r="D93" s="2" t="str">
        <f>E93</f>
        <v>Pneumonia por microrganismo não especificado</v>
      </c>
      <c r="E93" s="2" t="s">
        <v>113</v>
      </c>
      <c r="F93" s="2" t="s">
        <v>103</v>
      </c>
      <c r="G93" s="2" t="s">
        <v>104</v>
      </c>
      <c r="H93" s="2" t="s">
        <v>105</v>
      </c>
      <c r="I93" s="2" t="s">
        <v>109</v>
      </c>
      <c r="J93" s="2" t="s">
        <v>27</v>
      </c>
      <c r="K93" s="2"/>
    </row>
    <row r="94" spans="1:11" x14ac:dyDescent="0.3">
      <c r="A94" s="2" t="s">
        <v>114</v>
      </c>
      <c r="B94" s="2" t="str">
        <f>A94</f>
        <v>J21</v>
      </c>
      <c r="C94" s="2" t="str">
        <f>E94</f>
        <v>Bronquiolite aguda</v>
      </c>
      <c r="D94" s="2" t="str">
        <f>E94</f>
        <v>Bronquiolite aguda</v>
      </c>
      <c r="E94" s="2" t="s">
        <v>115</v>
      </c>
      <c r="F94" s="2" t="s">
        <v>103</v>
      </c>
      <c r="G94" s="2" t="s">
        <v>104</v>
      </c>
      <c r="H94" s="2" t="s">
        <v>105</v>
      </c>
      <c r="I94" s="2" t="s">
        <v>109</v>
      </c>
      <c r="J94" s="2" t="s">
        <v>13</v>
      </c>
      <c r="K94" s="2"/>
    </row>
    <row r="95" spans="1:11" ht="39.6" x14ac:dyDescent="0.3">
      <c r="A95" s="2" t="s">
        <v>116</v>
      </c>
      <c r="B95" s="2" t="str">
        <f>A95</f>
        <v>J35</v>
      </c>
      <c r="C95" s="2" t="str">
        <f>E95</f>
        <v>Doenças crônicas das amígdalas e das adenoides</v>
      </c>
      <c r="D95" s="2" t="str">
        <f>C95</f>
        <v>Doenças crônicas das amígdalas e das adenoides</v>
      </c>
      <c r="E95" s="2" t="s">
        <v>117</v>
      </c>
      <c r="F95" s="2" t="s">
        <v>103</v>
      </c>
      <c r="G95" s="2" t="s">
        <v>104</v>
      </c>
      <c r="H95" s="2" t="s">
        <v>105</v>
      </c>
      <c r="I95" s="2" t="s">
        <v>106</v>
      </c>
      <c r="J95" s="2" t="s">
        <v>13</v>
      </c>
      <c r="K95" s="2"/>
    </row>
    <row r="96" spans="1:11" x14ac:dyDescent="0.3">
      <c r="A96" s="2" t="s">
        <v>118</v>
      </c>
      <c r="B96" s="2" t="str">
        <f>A96</f>
        <v>J45</v>
      </c>
      <c r="C96" s="2" t="str">
        <f>E96</f>
        <v>Asma</v>
      </c>
      <c r="D96" s="2" t="str">
        <f>E96</f>
        <v>Asma</v>
      </c>
      <c r="E96" s="2" t="s">
        <v>119</v>
      </c>
      <c r="F96" s="2" t="s">
        <v>103</v>
      </c>
      <c r="G96" s="2" t="s">
        <v>104</v>
      </c>
      <c r="H96" s="2" t="s">
        <v>105</v>
      </c>
      <c r="I96" s="2" t="s">
        <v>120</v>
      </c>
      <c r="J96" s="2" t="s">
        <v>13</v>
      </c>
      <c r="K96" s="2"/>
    </row>
    <row r="97" spans="1:11" ht="39.6" x14ac:dyDescent="0.3">
      <c r="A97" s="2" t="s">
        <v>121</v>
      </c>
      <c r="B97" s="2" t="str">
        <f>A97</f>
        <v>J69</v>
      </c>
      <c r="C97" s="2" t="str">
        <f>E97</f>
        <v>Pneumonite devida a sólidos e líquidos (aspiração)</v>
      </c>
      <c r="D97" s="2" t="str">
        <f>E97</f>
        <v>Pneumonite devida a sólidos e líquidos (aspiração)</v>
      </c>
      <c r="E97" s="2" t="s">
        <v>122</v>
      </c>
      <c r="F97" s="2" t="s">
        <v>103</v>
      </c>
      <c r="G97" s="2" t="s">
        <v>104</v>
      </c>
      <c r="H97" s="2" t="s">
        <v>105</v>
      </c>
      <c r="I97" s="2" t="s">
        <v>109</v>
      </c>
      <c r="J97" s="2" t="s">
        <v>13</v>
      </c>
      <c r="K97" s="2"/>
    </row>
    <row r="98" spans="1:11" ht="26.4" x14ac:dyDescent="0.3">
      <c r="A98" s="2" t="s">
        <v>123</v>
      </c>
      <c r="B98" s="2" t="str">
        <f>A98</f>
        <v>J81</v>
      </c>
      <c r="C98" s="2" t="str">
        <f>E98</f>
        <v>Edema pulmonar</v>
      </c>
      <c r="D98" s="2" t="str">
        <f>E98</f>
        <v>Edema pulmonar</v>
      </c>
      <c r="E98" s="2" t="s">
        <v>124</v>
      </c>
      <c r="F98" s="2" t="s">
        <v>103</v>
      </c>
      <c r="G98" s="2" t="s">
        <v>104</v>
      </c>
      <c r="H98" s="2" t="s">
        <v>105</v>
      </c>
      <c r="I98" s="2" t="s">
        <v>125</v>
      </c>
      <c r="J98" s="2" t="s">
        <v>13</v>
      </c>
      <c r="K98" s="2"/>
    </row>
    <row r="99" spans="1:11" ht="52.8" x14ac:dyDescent="0.3">
      <c r="A99" s="2" t="s">
        <v>126</v>
      </c>
      <c r="B99" s="2" t="str">
        <f>A99</f>
        <v>J96</v>
      </c>
      <c r="C99" s="2" t="str">
        <f>E99</f>
        <v>Insuficiência respiratória não classificada em outra parte</v>
      </c>
      <c r="D99" s="2" t="str">
        <f>E99</f>
        <v>Insuficiência respiratória não classificada em outra parte</v>
      </c>
      <c r="E99" s="2" t="s">
        <v>127</v>
      </c>
      <c r="F99" s="2" t="s">
        <v>103</v>
      </c>
      <c r="G99" s="2" t="s">
        <v>104</v>
      </c>
      <c r="H99" s="2" t="s">
        <v>105</v>
      </c>
      <c r="I99" s="2" t="s">
        <v>125</v>
      </c>
      <c r="J99" s="2" t="s">
        <v>27</v>
      </c>
      <c r="K99" s="2" t="s">
        <v>855</v>
      </c>
    </row>
    <row r="100" spans="1:11" ht="52.8" x14ac:dyDescent="0.3">
      <c r="A100" s="2" t="s">
        <v>128</v>
      </c>
      <c r="B100" s="2" t="s">
        <v>866</v>
      </c>
      <c r="C100" s="2" t="s">
        <v>867</v>
      </c>
      <c r="D100" s="2" t="str">
        <f>C100</f>
        <v>Outras doenças dos brônquios não classificadas em outra parte</v>
      </c>
      <c r="E100" s="2" t="s">
        <v>129</v>
      </c>
      <c r="F100" s="2" t="s">
        <v>103</v>
      </c>
      <c r="G100" s="2" t="s">
        <v>104</v>
      </c>
      <c r="H100" s="2" t="s">
        <v>105</v>
      </c>
      <c r="I100" s="2" t="s">
        <v>125</v>
      </c>
      <c r="J100" s="2" t="s">
        <v>27</v>
      </c>
      <c r="K100" s="2"/>
    </row>
    <row r="101" spans="1:11" ht="26.4" x14ac:dyDescent="0.3">
      <c r="A101" s="2" t="s">
        <v>128</v>
      </c>
      <c r="B101" s="2" t="s">
        <v>868</v>
      </c>
      <c r="C101" s="2" t="s">
        <v>869</v>
      </c>
      <c r="D101" s="2" t="str">
        <f t="shared" ref="D101:D106" si="1">C101</f>
        <v>Colapso pulmonar</v>
      </c>
      <c r="E101" s="2" t="s">
        <v>129</v>
      </c>
      <c r="F101" s="2" t="s">
        <v>103</v>
      </c>
      <c r="G101" s="2" t="s">
        <v>104</v>
      </c>
      <c r="H101" s="2" t="s">
        <v>105</v>
      </c>
      <c r="I101" s="2" t="s">
        <v>125</v>
      </c>
      <c r="J101" s="2" t="s">
        <v>27</v>
      </c>
      <c r="K101" s="2"/>
    </row>
    <row r="102" spans="1:11" ht="26.4" x14ac:dyDescent="0.3">
      <c r="A102" s="2" t="s">
        <v>128</v>
      </c>
      <c r="B102" s="2" t="s">
        <v>870</v>
      </c>
      <c r="C102" s="2" t="s">
        <v>871</v>
      </c>
      <c r="D102" s="2" t="str">
        <f t="shared" si="1"/>
        <v>Enfisema intersticial</v>
      </c>
      <c r="E102" s="2" t="s">
        <v>129</v>
      </c>
      <c r="F102" s="2" t="s">
        <v>103</v>
      </c>
      <c r="G102" s="2" t="s">
        <v>104</v>
      </c>
      <c r="H102" s="2" t="s">
        <v>105</v>
      </c>
      <c r="I102" s="2" t="s">
        <v>125</v>
      </c>
      <c r="J102" s="2" t="s">
        <v>27</v>
      </c>
      <c r="K102" s="2"/>
    </row>
    <row r="103" spans="1:11" ht="26.4" x14ac:dyDescent="0.3">
      <c r="A103" s="2" t="s">
        <v>128</v>
      </c>
      <c r="B103" s="2" t="s">
        <v>872</v>
      </c>
      <c r="C103" s="2" t="s">
        <v>873</v>
      </c>
      <c r="D103" s="2" t="str">
        <f t="shared" si="1"/>
        <v>Enfisema compensatório</v>
      </c>
      <c r="E103" s="2" t="s">
        <v>129</v>
      </c>
      <c r="F103" s="2" t="s">
        <v>103</v>
      </c>
      <c r="G103" s="2" t="s">
        <v>104</v>
      </c>
      <c r="H103" s="2" t="s">
        <v>105</v>
      </c>
      <c r="I103" s="2" t="s">
        <v>125</v>
      </c>
      <c r="J103" s="2" t="s">
        <v>27</v>
      </c>
      <c r="K103" s="2"/>
    </row>
    <row r="104" spans="1:11" ht="26.4" x14ac:dyDescent="0.3">
      <c r="A104" s="2" t="s">
        <v>128</v>
      </c>
      <c r="B104" s="2" t="s">
        <v>874</v>
      </c>
      <c r="C104" s="2" t="s">
        <v>875</v>
      </c>
      <c r="D104" s="2" t="str">
        <f t="shared" si="1"/>
        <v>Outros transtornos pulmonares</v>
      </c>
      <c r="E104" s="2" t="s">
        <v>129</v>
      </c>
      <c r="F104" s="2" t="s">
        <v>103</v>
      </c>
      <c r="G104" s="2" t="s">
        <v>104</v>
      </c>
      <c r="H104" s="2" t="s">
        <v>105</v>
      </c>
      <c r="I104" s="2" t="s">
        <v>125</v>
      </c>
      <c r="J104" s="2" t="s">
        <v>27</v>
      </c>
      <c r="K104" s="2"/>
    </row>
    <row r="105" spans="1:11" ht="52.8" x14ac:dyDescent="0.3">
      <c r="A105" s="2" t="s">
        <v>128</v>
      </c>
      <c r="B105" s="2" t="s">
        <v>876</v>
      </c>
      <c r="C105" s="2" t="s">
        <v>877</v>
      </c>
      <c r="D105" s="2" t="str">
        <f t="shared" si="1"/>
        <v>Doenças do mediastino não classificadas em outra parte</v>
      </c>
      <c r="E105" s="2" t="s">
        <v>129</v>
      </c>
      <c r="F105" s="2" t="s">
        <v>103</v>
      </c>
      <c r="G105" s="2" t="s">
        <v>104</v>
      </c>
      <c r="H105" s="2" t="s">
        <v>105</v>
      </c>
      <c r="I105" s="2" t="s">
        <v>125</v>
      </c>
      <c r="J105" s="2" t="s">
        <v>27</v>
      </c>
      <c r="K105" s="2"/>
    </row>
    <row r="106" spans="1:11" ht="26.4" x14ac:dyDescent="0.3">
      <c r="A106" s="2" t="s">
        <v>128</v>
      </c>
      <c r="B106" s="2" t="s">
        <v>878</v>
      </c>
      <c r="C106" s="2" t="s">
        <v>879</v>
      </c>
      <c r="D106" s="2" t="str">
        <f t="shared" si="1"/>
        <v>Transtornos do diafragma</v>
      </c>
      <c r="E106" s="2" t="s">
        <v>129</v>
      </c>
      <c r="F106" s="2" t="s">
        <v>103</v>
      </c>
      <c r="G106" s="2" t="s">
        <v>104</v>
      </c>
      <c r="H106" s="2" t="s">
        <v>105</v>
      </c>
      <c r="I106" s="2" t="s">
        <v>125</v>
      </c>
      <c r="J106" s="2" t="s">
        <v>27</v>
      </c>
      <c r="K106" s="2"/>
    </row>
    <row r="107" spans="1:11" ht="26.4" x14ac:dyDescent="0.3">
      <c r="A107" s="2" t="s">
        <v>128</v>
      </c>
      <c r="B107" s="2" t="s">
        <v>880</v>
      </c>
      <c r="C107" s="2" t="s">
        <v>881</v>
      </c>
      <c r="D107" s="2" t="str">
        <f>E107</f>
        <v>Outros transtornos respiratórios</v>
      </c>
      <c r="E107" s="2" t="s">
        <v>129</v>
      </c>
      <c r="F107" s="2" t="s">
        <v>103</v>
      </c>
      <c r="G107" s="2" t="s">
        <v>104</v>
      </c>
      <c r="H107" s="2" t="s">
        <v>105</v>
      </c>
      <c r="I107" s="2" t="s">
        <v>125</v>
      </c>
      <c r="J107" s="2" t="s">
        <v>27</v>
      </c>
      <c r="K107" s="2"/>
    </row>
    <row r="108" spans="1:11" ht="26.4" x14ac:dyDescent="0.3">
      <c r="A108" s="2" t="s">
        <v>128</v>
      </c>
      <c r="B108" s="2" t="s">
        <v>882</v>
      </c>
      <c r="C108" s="2" t="s">
        <v>883</v>
      </c>
      <c r="D108" s="2" t="str">
        <f>E108</f>
        <v>Outros transtornos respiratórios</v>
      </c>
      <c r="E108" s="2" t="s">
        <v>129</v>
      </c>
      <c r="F108" s="2" t="s">
        <v>103</v>
      </c>
      <c r="G108" s="2" t="s">
        <v>104</v>
      </c>
      <c r="H108" s="2" t="s">
        <v>105</v>
      </c>
      <c r="I108" s="2" t="s">
        <v>125</v>
      </c>
      <c r="J108" s="2" t="s">
        <v>27</v>
      </c>
      <c r="K108" s="2"/>
    </row>
    <row r="109" spans="1:11" x14ac:dyDescent="0.3">
      <c r="A109" s="2" t="s">
        <v>130</v>
      </c>
      <c r="B109" s="2"/>
      <c r="C109" s="2"/>
      <c r="D109" s="2"/>
      <c r="E109" s="2" t="s">
        <v>131</v>
      </c>
      <c r="F109" s="2" t="s">
        <v>132</v>
      </c>
      <c r="G109" s="2" t="s">
        <v>133</v>
      </c>
      <c r="H109" s="2" t="s">
        <v>134</v>
      </c>
      <c r="I109" s="2" t="s">
        <v>135</v>
      </c>
      <c r="J109" s="2" t="s">
        <v>13</v>
      </c>
      <c r="K109" s="2"/>
    </row>
    <row r="110" spans="1:11" x14ac:dyDescent="0.3">
      <c r="A110" s="2" t="s">
        <v>136</v>
      </c>
      <c r="B110" s="2" t="str">
        <f>A110</f>
        <v>K40</v>
      </c>
      <c r="C110" s="2" t="str">
        <f>E110</f>
        <v>Hérnia inguinal</v>
      </c>
      <c r="D110" s="2" t="str">
        <f>E110</f>
        <v>Hérnia inguinal</v>
      </c>
      <c r="E110" s="2" t="s">
        <v>137</v>
      </c>
      <c r="F110" s="2" t="s">
        <v>132</v>
      </c>
      <c r="G110" s="2" t="s">
        <v>133</v>
      </c>
      <c r="H110" s="2" t="s">
        <v>134</v>
      </c>
      <c r="I110" s="2" t="s">
        <v>135</v>
      </c>
      <c r="J110" s="2" t="s">
        <v>13</v>
      </c>
      <c r="K110" s="2"/>
    </row>
    <row r="111" spans="1:11" x14ac:dyDescent="0.3">
      <c r="A111" s="2" t="s">
        <v>138</v>
      </c>
      <c r="B111" s="2" t="str">
        <f>A111</f>
        <v>K42</v>
      </c>
      <c r="C111" s="2" t="str">
        <f>E111</f>
        <v>Hérnia umbilical</v>
      </c>
      <c r="D111" s="2" t="str">
        <f>E111</f>
        <v>Hérnia umbilical</v>
      </c>
      <c r="E111" s="2" t="s">
        <v>139</v>
      </c>
      <c r="F111" s="2" t="s">
        <v>132</v>
      </c>
      <c r="G111" s="2" t="s">
        <v>133</v>
      </c>
      <c r="H111" s="2" t="s">
        <v>134</v>
      </c>
      <c r="I111" s="2" t="s">
        <v>135</v>
      </c>
      <c r="J111" s="2" t="s">
        <v>13</v>
      </c>
      <c r="K111" s="2"/>
    </row>
    <row r="112" spans="1:11" ht="39.6" x14ac:dyDescent="0.3">
      <c r="A112" s="2" t="s">
        <v>140</v>
      </c>
      <c r="B112" s="2" t="str">
        <f>A112</f>
        <v>K52</v>
      </c>
      <c r="C112" s="2" t="str">
        <f>E112</f>
        <v>Outras gastroenterites e colites não infecciosas</v>
      </c>
      <c r="D112" s="2" t="str">
        <f>E112</f>
        <v>Outras gastroenterites e colites não infecciosas</v>
      </c>
      <c r="E112" s="2" t="s">
        <v>141</v>
      </c>
      <c r="F112" s="2" t="s">
        <v>132</v>
      </c>
      <c r="G112" s="2" t="s">
        <v>133</v>
      </c>
      <c r="H112" s="2" t="s">
        <v>134</v>
      </c>
      <c r="I112" s="2" t="s">
        <v>12</v>
      </c>
      <c r="J112" s="2" t="s">
        <v>13</v>
      </c>
      <c r="K112" s="2"/>
    </row>
    <row r="113" spans="1:11" ht="39.6" x14ac:dyDescent="0.3">
      <c r="A113" s="2" t="s">
        <v>142</v>
      </c>
      <c r="B113" s="2" t="str">
        <f>A113</f>
        <v>K56</v>
      </c>
      <c r="C113" s="2" t="str">
        <f>E113</f>
        <v>Íleo paralítico e obstrução intestinal sem hérnia</v>
      </c>
      <c r="D113" s="2" t="str">
        <f>E113</f>
        <v>Íleo paralítico e obstrução intestinal sem hérnia</v>
      </c>
      <c r="E113" s="2" t="s">
        <v>143</v>
      </c>
      <c r="F113" s="2" t="s">
        <v>132</v>
      </c>
      <c r="G113" s="2" t="s">
        <v>133</v>
      </c>
      <c r="H113" s="2" t="s">
        <v>134</v>
      </c>
      <c r="I113" s="2" t="s">
        <v>135</v>
      </c>
      <c r="J113" s="2" t="s">
        <v>13</v>
      </c>
      <c r="K113" s="2"/>
    </row>
    <row r="114" spans="1:11" x14ac:dyDescent="0.3">
      <c r="A114" s="2" t="s">
        <v>144</v>
      </c>
      <c r="B114" s="2" t="s">
        <v>537</v>
      </c>
      <c r="C114" s="2" t="s">
        <v>538</v>
      </c>
      <c r="D114" s="2" t="str">
        <f>C114</f>
        <v>Abscesso do intestino</v>
      </c>
      <c r="E114" s="2" t="s">
        <v>145</v>
      </c>
      <c r="F114" s="2" t="s">
        <v>132</v>
      </c>
      <c r="G114" s="2" t="s">
        <v>133</v>
      </c>
      <c r="H114" s="2" t="s">
        <v>134</v>
      </c>
      <c r="I114" s="2" t="s">
        <v>135</v>
      </c>
      <c r="J114" s="2" t="s">
        <v>27</v>
      </c>
      <c r="K114" s="2"/>
    </row>
    <row r="115" spans="1:11" ht="39.6" x14ac:dyDescent="0.3">
      <c r="A115" s="2" t="s">
        <v>144</v>
      </c>
      <c r="B115" s="2" t="s">
        <v>539</v>
      </c>
      <c r="C115" s="2" t="s">
        <v>540</v>
      </c>
      <c r="D115" s="2" t="str">
        <f t="shared" ref="D115:D119" si="2">C115</f>
        <v>Perfuração do intestino (não-traumática)</v>
      </c>
      <c r="E115" s="2" t="s">
        <v>145</v>
      </c>
      <c r="F115" s="2" t="s">
        <v>132</v>
      </c>
      <c r="G115" s="2" t="s">
        <v>133</v>
      </c>
      <c r="H115" s="2" t="s">
        <v>134</v>
      </c>
      <c r="I115" s="2" t="s">
        <v>135</v>
      </c>
      <c r="J115" s="2" t="s">
        <v>27</v>
      </c>
      <c r="K115" s="2"/>
    </row>
    <row r="116" spans="1:11" x14ac:dyDescent="0.3">
      <c r="A116" s="2" t="s">
        <v>144</v>
      </c>
      <c r="B116" s="2" t="s">
        <v>541</v>
      </c>
      <c r="C116" s="2" t="s">
        <v>542</v>
      </c>
      <c r="D116" s="2" t="str">
        <f t="shared" si="2"/>
        <v>Fístula do intestino</v>
      </c>
      <c r="E116" s="2" t="s">
        <v>145</v>
      </c>
      <c r="F116" s="2" t="s">
        <v>132</v>
      </c>
      <c r="G116" s="2" t="s">
        <v>133</v>
      </c>
      <c r="H116" s="2" t="s">
        <v>134</v>
      </c>
      <c r="I116" s="2" t="s">
        <v>135</v>
      </c>
      <c r="J116" s="2" t="s">
        <v>27</v>
      </c>
      <c r="K116" s="2"/>
    </row>
    <row r="117" spans="1:11" x14ac:dyDescent="0.3">
      <c r="A117" s="2" t="s">
        <v>144</v>
      </c>
      <c r="B117" s="2" t="s">
        <v>543</v>
      </c>
      <c r="C117" s="2" t="s">
        <v>544</v>
      </c>
      <c r="D117" s="2" t="str">
        <f t="shared" si="2"/>
        <v>Úlcera do intestino</v>
      </c>
      <c r="E117" s="2" t="s">
        <v>145</v>
      </c>
      <c r="F117" s="2" t="s">
        <v>132</v>
      </c>
      <c r="G117" s="2" t="s">
        <v>133</v>
      </c>
      <c r="H117" s="2" t="s">
        <v>134</v>
      </c>
      <c r="I117" s="2" t="s">
        <v>135</v>
      </c>
      <c r="J117" s="2" t="s">
        <v>27</v>
      </c>
      <c r="K117" s="2"/>
    </row>
    <row r="118" spans="1:11" x14ac:dyDescent="0.3">
      <c r="A118" s="2" t="s">
        <v>144</v>
      </c>
      <c r="B118" s="2" t="s">
        <v>545</v>
      </c>
      <c r="C118" s="2" t="s">
        <v>546</v>
      </c>
      <c r="D118" s="2" t="str">
        <f t="shared" si="2"/>
        <v>Enteroptose</v>
      </c>
      <c r="E118" s="2" t="s">
        <v>145</v>
      </c>
      <c r="F118" s="2" t="s">
        <v>132</v>
      </c>
      <c r="G118" s="2" t="s">
        <v>133</v>
      </c>
      <c r="H118" s="2" t="s">
        <v>134</v>
      </c>
      <c r="I118" s="2" t="s">
        <v>135</v>
      </c>
      <c r="J118" s="2" t="s">
        <v>27</v>
      </c>
      <c r="K118" s="2"/>
    </row>
    <row r="119" spans="1:11" x14ac:dyDescent="0.3">
      <c r="A119" s="2" t="s">
        <v>144</v>
      </c>
      <c r="B119" s="2" t="s">
        <v>547</v>
      </c>
      <c r="C119" s="2" t="s">
        <v>548</v>
      </c>
      <c r="D119" s="2" t="str">
        <f t="shared" si="2"/>
        <v>Pólipo do cólon</v>
      </c>
      <c r="E119" s="2" t="s">
        <v>145</v>
      </c>
      <c r="F119" s="2" t="s">
        <v>132</v>
      </c>
      <c r="G119" s="2" t="s">
        <v>133</v>
      </c>
      <c r="H119" s="2" t="s">
        <v>134</v>
      </c>
      <c r="I119" s="2" t="s">
        <v>135</v>
      </c>
      <c r="J119" s="2" t="s">
        <v>27</v>
      </c>
      <c r="K119" s="2"/>
    </row>
    <row r="120" spans="1:11" ht="26.4" x14ac:dyDescent="0.3">
      <c r="A120" s="2" t="s">
        <v>144</v>
      </c>
      <c r="B120" s="2" t="s">
        <v>549</v>
      </c>
      <c r="C120" s="2" t="s">
        <v>550</v>
      </c>
      <c r="D120" s="2" t="s">
        <v>145</v>
      </c>
      <c r="E120" s="2" t="s">
        <v>145</v>
      </c>
      <c r="F120" s="2" t="s">
        <v>132</v>
      </c>
      <c r="G120" s="2" t="s">
        <v>133</v>
      </c>
      <c r="H120" s="2" t="s">
        <v>134</v>
      </c>
      <c r="I120" s="2" t="s">
        <v>135</v>
      </c>
      <c r="J120" s="2" t="s">
        <v>27</v>
      </c>
      <c r="K120" s="2"/>
    </row>
    <row r="121" spans="1:11" ht="26.4" x14ac:dyDescent="0.3">
      <c r="A121" s="2" t="s">
        <v>144</v>
      </c>
      <c r="B121" s="2" t="s">
        <v>551</v>
      </c>
      <c r="C121" s="2" t="s">
        <v>552</v>
      </c>
      <c r="D121" s="2" t="s">
        <v>145</v>
      </c>
      <c r="E121" s="2" t="s">
        <v>145</v>
      </c>
      <c r="F121" s="2" t="s">
        <v>132</v>
      </c>
      <c r="G121" s="2" t="s">
        <v>133</v>
      </c>
      <c r="H121" s="2" t="s">
        <v>134</v>
      </c>
      <c r="I121" s="2" t="s">
        <v>135</v>
      </c>
      <c r="J121" s="2" t="s">
        <v>27</v>
      </c>
      <c r="K121" s="2"/>
    </row>
    <row r="122" spans="1:11" x14ac:dyDescent="0.3">
      <c r="A122" s="2" t="s">
        <v>146</v>
      </c>
      <c r="B122" s="2" t="s">
        <v>553</v>
      </c>
      <c r="C122" s="2" t="s">
        <v>554</v>
      </c>
      <c r="D122" s="2" t="str">
        <f>C122</f>
        <v>Hematêmese</v>
      </c>
      <c r="E122" s="2" t="s">
        <v>147</v>
      </c>
      <c r="F122" s="2" t="s">
        <v>132</v>
      </c>
      <c r="G122" s="2" t="s">
        <v>133</v>
      </c>
      <c r="H122" s="2" t="s">
        <v>134</v>
      </c>
      <c r="I122" s="2" t="s">
        <v>135</v>
      </c>
      <c r="J122" s="2" t="s">
        <v>27</v>
      </c>
      <c r="K122" s="2"/>
    </row>
    <row r="123" spans="1:11" x14ac:dyDescent="0.3">
      <c r="A123" s="2" t="s">
        <v>146</v>
      </c>
      <c r="B123" s="2" t="s">
        <v>555</v>
      </c>
      <c r="C123" s="2" t="s">
        <v>556</v>
      </c>
      <c r="D123" s="2" t="str">
        <f>C123</f>
        <v>Melena</v>
      </c>
      <c r="E123" s="2" t="s">
        <v>147</v>
      </c>
      <c r="F123" s="2" t="s">
        <v>132</v>
      </c>
      <c r="G123" s="2" t="s">
        <v>133</v>
      </c>
      <c r="H123" s="2" t="s">
        <v>134</v>
      </c>
      <c r="I123" s="2" t="s">
        <v>135</v>
      </c>
      <c r="J123" s="2" t="s">
        <v>27</v>
      </c>
      <c r="K123" s="2"/>
    </row>
    <row r="124" spans="1:11" ht="39.6" x14ac:dyDescent="0.3">
      <c r="A124" s="2" t="s">
        <v>146</v>
      </c>
      <c r="B124" s="2" t="s">
        <v>557</v>
      </c>
      <c r="C124" s="2" t="s">
        <v>558</v>
      </c>
      <c r="D124" s="2" t="str">
        <f>C124</f>
        <v>Hemorragia gastrointestinal, sem outra especificação</v>
      </c>
      <c r="E124" s="2" t="s">
        <v>147</v>
      </c>
      <c r="F124" s="2" t="s">
        <v>132</v>
      </c>
      <c r="G124" s="2" t="s">
        <v>133</v>
      </c>
      <c r="H124" s="2" t="s">
        <v>134</v>
      </c>
      <c r="I124" s="2" t="s">
        <v>135</v>
      </c>
      <c r="J124" s="2" t="s">
        <v>27</v>
      </c>
      <c r="K124" s="2"/>
    </row>
    <row r="125" spans="1:11" ht="26.4" x14ac:dyDescent="0.3">
      <c r="A125" s="2" t="s">
        <v>146</v>
      </c>
      <c r="B125" s="2" t="s">
        <v>559</v>
      </c>
      <c r="C125" s="2" t="s">
        <v>560</v>
      </c>
      <c r="D125" s="2" t="s">
        <v>147</v>
      </c>
      <c r="E125" s="2" t="s">
        <v>147</v>
      </c>
      <c r="F125" s="2" t="s">
        <v>132</v>
      </c>
      <c r="G125" s="2" t="s">
        <v>133</v>
      </c>
      <c r="H125" s="2" t="s">
        <v>134</v>
      </c>
      <c r="I125" s="2" t="s">
        <v>135</v>
      </c>
      <c r="J125" s="2" t="s">
        <v>27</v>
      </c>
      <c r="K125" s="2"/>
    </row>
    <row r="126" spans="1:11" ht="26.4" x14ac:dyDescent="0.3">
      <c r="A126" s="2" t="s">
        <v>146</v>
      </c>
      <c r="B126" s="2" t="s">
        <v>561</v>
      </c>
      <c r="C126" s="2" t="s">
        <v>562</v>
      </c>
      <c r="D126" s="2" t="s">
        <v>147</v>
      </c>
      <c r="E126" s="2" t="s">
        <v>147</v>
      </c>
      <c r="F126" s="2" t="s">
        <v>132</v>
      </c>
      <c r="G126" s="2" t="s">
        <v>133</v>
      </c>
      <c r="H126" s="2" t="s">
        <v>134</v>
      </c>
      <c r="I126" s="2" t="s">
        <v>135</v>
      </c>
      <c r="J126" s="2" t="s">
        <v>27</v>
      </c>
      <c r="K126" s="2"/>
    </row>
    <row r="127" spans="1:11" ht="26.4" x14ac:dyDescent="0.3">
      <c r="A127" s="2" t="s">
        <v>148</v>
      </c>
      <c r="B127" s="2" t="str">
        <f>A127</f>
        <v>L01</v>
      </c>
      <c r="C127" s="2" t="str">
        <f>E127</f>
        <v>Impetigo</v>
      </c>
      <c r="D127" s="2" t="str">
        <f>E127</f>
        <v>Impetigo</v>
      </c>
      <c r="E127" s="2" t="s">
        <v>149</v>
      </c>
      <c r="F127" s="2" t="s">
        <v>150</v>
      </c>
      <c r="G127" s="2" t="s">
        <v>151</v>
      </c>
      <c r="H127" s="2" t="s">
        <v>152</v>
      </c>
      <c r="I127" s="2" t="s">
        <v>153</v>
      </c>
      <c r="J127" s="2" t="s">
        <v>13</v>
      </c>
      <c r="K127" s="2"/>
    </row>
    <row r="128" spans="1:11" ht="26.4" x14ac:dyDescent="0.3">
      <c r="A128" s="2" t="s">
        <v>154</v>
      </c>
      <c r="B128" s="2" t="str">
        <f>A128</f>
        <v>L02</v>
      </c>
      <c r="C128" s="2" t="str">
        <f>E128</f>
        <v>Abscesso cutâneo, furúnculo e antraz</v>
      </c>
      <c r="D128" s="2" t="str">
        <f>E128</f>
        <v>Abscesso cutâneo, furúnculo e antraz</v>
      </c>
      <c r="E128" s="2" t="s">
        <v>155</v>
      </c>
      <c r="F128" s="2" t="s">
        <v>150</v>
      </c>
      <c r="G128" s="2" t="s">
        <v>151</v>
      </c>
      <c r="H128" s="2" t="s">
        <v>152</v>
      </c>
      <c r="I128" s="2" t="s">
        <v>153</v>
      </c>
      <c r="J128" s="2" t="s">
        <v>13</v>
      </c>
      <c r="K128" s="2"/>
    </row>
    <row r="129" spans="1:11" ht="26.4" x14ac:dyDescent="0.3">
      <c r="A129" s="2" t="s">
        <v>156</v>
      </c>
      <c r="B129" s="2" t="str">
        <f>A129</f>
        <v>L03</v>
      </c>
      <c r="C129" s="2" t="str">
        <f>E129</f>
        <v>Celulite (flegmão)</v>
      </c>
      <c r="D129" s="2" t="str">
        <f>E129</f>
        <v>Celulite (flegmão)</v>
      </c>
      <c r="E129" s="2" t="s">
        <v>157</v>
      </c>
      <c r="F129" s="2" t="s">
        <v>150</v>
      </c>
      <c r="G129" s="2" t="s">
        <v>151</v>
      </c>
      <c r="H129" s="2" t="s">
        <v>152</v>
      </c>
      <c r="I129" s="2" t="s">
        <v>153</v>
      </c>
      <c r="J129" s="2" t="s">
        <v>13</v>
      </c>
      <c r="K129" s="2"/>
    </row>
    <row r="130" spans="1:11" ht="26.4" x14ac:dyDescent="0.3">
      <c r="A130" s="2" t="s">
        <v>158</v>
      </c>
      <c r="B130" s="2" t="s">
        <v>563</v>
      </c>
      <c r="C130" s="2" t="s">
        <v>564</v>
      </c>
      <c r="D130" s="2" t="str">
        <f>C130</f>
        <v>Granuloma piogênico</v>
      </c>
      <c r="E130" s="2" t="s">
        <v>159</v>
      </c>
      <c r="F130" s="2" t="s">
        <v>150</v>
      </c>
      <c r="G130" s="2" t="s">
        <v>151</v>
      </c>
      <c r="H130" s="2" t="s">
        <v>152</v>
      </c>
      <c r="I130" s="2" t="s">
        <v>153</v>
      </c>
      <c r="J130" s="2" t="s">
        <v>27</v>
      </c>
      <c r="K130" s="2"/>
    </row>
    <row r="131" spans="1:11" ht="26.4" x14ac:dyDescent="0.3">
      <c r="A131" s="2" t="s">
        <v>158</v>
      </c>
      <c r="B131" s="2" t="s">
        <v>565</v>
      </c>
      <c r="C131" s="2" t="s">
        <v>566</v>
      </c>
      <c r="D131" s="2" t="str">
        <f>C131</f>
        <v>Dermatite factícia</v>
      </c>
      <c r="E131" s="2" t="s">
        <v>159</v>
      </c>
      <c r="F131" s="2" t="s">
        <v>150</v>
      </c>
      <c r="G131" s="2" t="s">
        <v>151</v>
      </c>
      <c r="H131" s="2" t="s">
        <v>152</v>
      </c>
      <c r="I131" s="2" t="s">
        <v>153</v>
      </c>
      <c r="J131" s="2" t="s">
        <v>27</v>
      </c>
      <c r="K131" s="2"/>
    </row>
    <row r="132" spans="1:11" ht="39.6" x14ac:dyDescent="0.3">
      <c r="A132" s="2" t="s">
        <v>158</v>
      </c>
      <c r="B132" s="2" t="s">
        <v>567</v>
      </c>
      <c r="C132" s="2" t="s">
        <v>568</v>
      </c>
      <c r="D132" s="2" t="str">
        <f>C132</f>
        <v>Dermatose neutrofílica febril [Sweet]</v>
      </c>
      <c r="E132" s="2" t="s">
        <v>159</v>
      </c>
      <c r="F132" s="2" t="s">
        <v>150</v>
      </c>
      <c r="G132" s="2" t="s">
        <v>151</v>
      </c>
      <c r="H132" s="2" t="s">
        <v>152</v>
      </c>
      <c r="I132" s="2" t="s">
        <v>153</v>
      </c>
      <c r="J132" s="2" t="s">
        <v>27</v>
      </c>
      <c r="K132" s="2"/>
    </row>
    <row r="133" spans="1:11" ht="26.4" x14ac:dyDescent="0.3">
      <c r="A133" s="2" t="s">
        <v>158</v>
      </c>
      <c r="B133" s="2" t="s">
        <v>569</v>
      </c>
      <c r="C133" s="2" t="s">
        <v>570</v>
      </c>
      <c r="D133" s="2" t="str">
        <f>C133</f>
        <v>Celulite eosinofílica [Wells]</v>
      </c>
      <c r="E133" s="2" t="s">
        <v>159</v>
      </c>
      <c r="F133" s="2" t="s">
        <v>150</v>
      </c>
      <c r="G133" s="2" t="s">
        <v>151</v>
      </c>
      <c r="H133" s="2" t="s">
        <v>152</v>
      </c>
      <c r="I133" s="2" t="s">
        <v>153</v>
      </c>
      <c r="J133" s="2" t="s">
        <v>27</v>
      </c>
      <c r="K133" s="2"/>
    </row>
    <row r="134" spans="1:11" ht="26.4" x14ac:dyDescent="0.3">
      <c r="A134" s="2" t="s">
        <v>158</v>
      </c>
      <c r="B134" s="2" t="s">
        <v>571</v>
      </c>
      <c r="C134" s="2" t="s">
        <v>572</v>
      </c>
      <c r="D134" s="2" t="s">
        <v>581</v>
      </c>
      <c r="E134" s="2" t="s">
        <v>159</v>
      </c>
      <c r="F134" s="2" t="s">
        <v>150</v>
      </c>
      <c r="G134" s="2" t="s">
        <v>151</v>
      </c>
      <c r="H134" s="2" t="s">
        <v>152</v>
      </c>
      <c r="I134" s="2" t="s">
        <v>153</v>
      </c>
      <c r="J134" s="2" t="s">
        <v>27</v>
      </c>
      <c r="K134" s="2"/>
    </row>
    <row r="135" spans="1:11" ht="26.4" x14ac:dyDescent="0.3">
      <c r="A135" s="2" t="s">
        <v>158</v>
      </c>
      <c r="B135" s="2" t="s">
        <v>573</v>
      </c>
      <c r="C135" s="2" t="s">
        <v>574</v>
      </c>
      <c r="D135" s="2" t="str">
        <f>C135</f>
        <v>Mucinose da pele</v>
      </c>
      <c r="E135" s="2" t="s">
        <v>159</v>
      </c>
      <c r="F135" s="2" t="s">
        <v>150</v>
      </c>
      <c r="G135" s="2" t="s">
        <v>151</v>
      </c>
      <c r="H135" s="2" t="s">
        <v>152</v>
      </c>
      <c r="I135" s="2" t="s">
        <v>153</v>
      </c>
      <c r="J135" s="2" t="s">
        <v>27</v>
      </c>
      <c r="K135" s="2"/>
    </row>
    <row r="136" spans="1:11" ht="26.4" x14ac:dyDescent="0.3">
      <c r="A136" s="2" t="s">
        <v>158</v>
      </c>
      <c r="B136" s="2" t="s">
        <v>575</v>
      </c>
      <c r="C136" s="2" t="s">
        <v>576</v>
      </c>
      <c r="D136" s="2" t="s">
        <v>581</v>
      </c>
      <c r="E136" s="2" t="s">
        <v>159</v>
      </c>
      <c r="F136" s="2" t="s">
        <v>150</v>
      </c>
      <c r="G136" s="2" t="s">
        <v>151</v>
      </c>
      <c r="H136" s="2" t="s">
        <v>152</v>
      </c>
      <c r="I136" s="2" t="s">
        <v>153</v>
      </c>
      <c r="J136" s="2" t="s">
        <v>27</v>
      </c>
      <c r="K136" s="2"/>
    </row>
    <row r="137" spans="1:11" ht="26.4" x14ac:dyDescent="0.3">
      <c r="A137" s="2" t="s">
        <v>158</v>
      </c>
      <c r="B137" s="2" t="s">
        <v>577</v>
      </c>
      <c r="C137" s="2" t="s">
        <v>578</v>
      </c>
      <c r="D137" s="2" t="s">
        <v>581</v>
      </c>
      <c r="E137" s="2" t="s">
        <v>159</v>
      </c>
      <c r="F137" s="2" t="s">
        <v>150</v>
      </c>
      <c r="G137" s="2" t="s">
        <v>151</v>
      </c>
      <c r="H137" s="2" t="s">
        <v>152</v>
      </c>
      <c r="I137" s="2" t="s">
        <v>153</v>
      </c>
      <c r="J137" s="2" t="s">
        <v>27</v>
      </c>
      <c r="K137" s="2"/>
    </row>
    <row r="138" spans="1:11" ht="26.4" x14ac:dyDescent="0.3">
      <c r="A138" s="2" t="s">
        <v>158</v>
      </c>
      <c r="B138" s="2" t="s">
        <v>579</v>
      </c>
      <c r="C138" s="2" t="s">
        <v>580</v>
      </c>
      <c r="D138" s="2" t="s">
        <v>581</v>
      </c>
      <c r="E138" s="2" t="s">
        <v>159</v>
      </c>
      <c r="F138" s="2" t="s">
        <v>150</v>
      </c>
      <c r="G138" s="2" t="s">
        <v>151</v>
      </c>
      <c r="H138" s="2" t="s">
        <v>152</v>
      </c>
      <c r="I138" s="2" t="s">
        <v>153</v>
      </c>
      <c r="J138" s="2" t="s">
        <v>27</v>
      </c>
      <c r="K138" s="2"/>
    </row>
    <row r="139" spans="1:11" ht="52.8" x14ac:dyDescent="0.3">
      <c r="A139" s="2" t="s">
        <v>160</v>
      </c>
      <c r="B139" s="2" t="s">
        <v>582</v>
      </c>
      <c r="C139" s="2" t="s">
        <v>583</v>
      </c>
      <c r="D139" s="2" t="str">
        <f>C139</f>
        <v>Infecção do trato urinário de localização não especificada</v>
      </c>
      <c r="E139" s="2" t="s">
        <v>161</v>
      </c>
      <c r="F139" s="2" t="s">
        <v>162</v>
      </c>
      <c r="G139" s="2" t="s">
        <v>163</v>
      </c>
      <c r="H139" s="2" t="s">
        <v>164</v>
      </c>
      <c r="I139" s="2" t="s">
        <v>165</v>
      </c>
      <c r="J139" s="2" t="s">
        <v>27</v>
      </c>
      <c r="K139" s="2"/>
    </row>
    <row r="140" spans="1:11" ht="39.6" x14ac:dyDescent="0.3">
      <c r="A140" s="2" t="s">
        <v>160</v>
      </c>
      <c r="B140" s="2" t="s">
        <v>584</v>
      </c>
      <c r="C140" s="2" t="s">
        <v>585</v>
      </c>
      <c r="D140" s="2" t="str">
        <f>C140</f>
        <v>Proteinúria persistente não especificada</v>
      </c>
      <c r="E140" s="2" t="s">
        <v>161</v>
      </c>
      <c r="F140" s="2" t="s">
        <v>162</v>
      </c>
      <c r="G140" s="2" t="s">
        <v>163</v>
      </c>
      <c r="H140" s="2" t="s">
        <v>164</v>
      </c>
      <c r="I140" s="2" t="s">
        <v>165</v>
      </c>
      <c r="J140" s="2" t="s">
        <v>27</v>
      </c>
      <c r="K140" s="2"/>
    </row>
    <row r="141" spans="1:11" ht="26.4" x14ac:dyDescent="0.3">
      <c r="A141" s="2" t="s">
        <v>160</v>
      </c>
      <c r="B141" s="2" t="s">
        <v>586</v>
      </c>
      <c r="C141" s="2" t="s">
        <v>587</v>
      </c>
      <c r="D141" s="2" t="str">
        <f>C141</f>
        <v>Proteinúria ortostática não especificada</v>
      </c>
      <c r="E141" s="2" t="s">
        <v>161</v>
      </c>
      <c r="F141" s="2" t="s">
        <v>162</v>
      </c>
      <c r="G141" s="2" t="s">
        <v>163</v>
      </c>
      <c r="H141" s="2" t="s">
        <v>164</v>
      </c>
      <c r="I141" s="2" t="s">
        <v>165</v>
      </c>
      <c r="J141" s="2" t="s">
        <v>27</v>
      </c>
      <c r="K141" s="2"/>
    </row>
    <row r="142" spans="1:11" ht="26.4" x14ac:dyDescent="0.3">
      <c r="A142" s="2" t="s">
        <v>160</v>
      </c>
      <c r="B142" s="2" t="s">
        <v>588</v>
      </c>
      <c r="C142" s="2" t="s">
        <v>589</v>
      </c>
      <c r="D142" s="2" t="str">
        <f>C142</f>
        <v>Incontinência de tensão ("stress")</v>
      </c>
      <c r="E142" s="2" t="s">
        <v>161</v>
      </c>
      <c r="F142" s="2" t="s">
        <v>162</v>
      </c>
      <c r="G142" s="2" t="s">
        <v>163</v>
      </c>
      <c r="H142" s="2" t="s">
        <v>164</v>
      </c>
      <c r="I142" s="2" t="s">
        <v>165</v>
      </c>
      <c r="J142" s="2" t="s">
        <v>27</v>
      </c>
      <c r="K142" s="2"/>
    </row>
    <row r="143" spans="1:11" ht="26.4" x14ac:dyDescent="0.3">
      <c r="A143" s="2" t="s">
        <v>160</v>
      </c>
      <c r="B143" s="2" t="s">
        <v>590</v>
      </c>
      <c r="C143" s="2" t="s">
        <v>591</v>
      </c>
      <c r="D143" s="2" t="str">
        <f>E143</f>
        <v>Outros transtornos do trato urinário</v>
      </c>
      <c r="E143" s="2" t="s">
        <v>161</v>
      </c>
      <c r="F143" s="2" t="s">
        <v>162</v>
      </c>
      <c r="G143" s="2" t="s">
        <v>163</v>
      </c>
      <c r="H143" s="2" t="s">
        <v>164</v>
      </c>
      <c r="I143" s="2" t="s">
        <v>165</v>
      </c>
      <c r="J143" s="2" t="s">
        <v>27</v>
      </c>
      <c r="K143" s="2"/>
    </row>
    <row r="144" spans="1:11" ht="26.4" x14ac:dyDescent="0.3">
      <c r="A144" s="2" t="s">
        <v>160</v>
      </c>
      <c r="B144" s="2" t="s">
        <v>592</v>
      </c>
      <c r="C144" s="2" t="s">
        <v>593</v>
      </c>
      <c r="D144" s="2" t="str">
        <f>E144</f>
        <v>Outros transtornos do trato urinário</v>
      </c>
      <c r="E144" s="2" t="s">
        <v>161</v>
      </c>
      <c r="F144" s="2" t="s">
        <v>162</v>
      </c>
      <c r="G144" s="2" t="s">
        <v>163</v>
      </c>
      <c r="H144" s="2" t="s">
        <v>164</v>
      </c>
      <c r="I144" s="2" t="s">
        <v>165</v>
      </c>
      <c r="J144" s="2" t="s">
        <v>27</v>
      </c>
      <c r="K144" s="2"/>
    </row>
    <row r="145" spans="1:11" ht="26.4" x14ac:dyDescent="0.3">
      <c r="A145" s="2" t="s">
        <v>160</v>
      </c>
      <c r="B145" s="2" t="s">
        <v>594</v>
      </c>
      <c r="C145" s="2" t="s">
        <v>595</v>
      </c>
      <c r="D145" s="2" t="str">
        <f>E145</f>
        <v>Outros transtornos do trato urinário</v>
      </c>
      <c r="E145" s="2" t="s">
        <v>161</v>
      </c>
      <c r="F145" s="2" t="s">
        <v>162</v>
      </c>
      <c r="G145" s="2" t="s">
        <v>163</v>
      </c>
      <c r="H145" s="2" t="s">
        <v>164</v>
      </c>
      <c r="I145" s="2" t="s">
        <v>165</v>
      </c>
      <c r="J145" s="2" t="s">
        <v>27</v>
      </c>
      <c r="K145" s="2"/>
    </row>
    <row r="146" spans="1:11" ht="26.4" x14ac:dyDescent="0.3">
      <c r="A146" s="2" t="s">
        <v>166</v>
      </c>
      <c r="B146" s="2" t="str">
        <f>A146</f>
        <v>N47</v>
      </c>
      <c r="C146" s="2" t="str">
        <f>E146</f>
        <v>Prepúcio redundante, fimose e parafimose</v>
      </c>
      <c r="D146" s="2" t="str">
        <f>E146</f>
        <v>Prepúcio redundante, fimose e parafimose</v>
      </c>
      <c r="E146" s="2" t="s">
        <v>167</v>
      </c>
      <c r="F146" s="2" t="s">
        <v>162</v>
      </c>
      <c r="G146" s="2" t="s">
        <v>163</v>
      </c>
      <c r="H146" s="2" t="s">
        <v>164</v>
      </c>
      <c r="I146" s="2" t="s">
        <v>168</v>
      </c>
      <c r="J146" s="2" t="s">
        <v>13</v>
      </c>
      <c r="K146" s="2"/>
    </row>
    <row r="147" spans="1:11" ht="39.6" x14ac:dyDescent="0.3">
      <c r="A147" s="2" t="s">
        <v>169</v>
      </c>
      <c r="B147" s="2" t="str">
        <f>A147</f>
        <v>P00</v>
      </c>
      <c r="C147" s="2" t="str">
        <f>E147</f>
        <v>Recém-nascido afetado por afecções maternas</v>
      </c>
      <c r="D147" s="2" t="str">
        <f>E147</f>
        <v>Recém-nascido afetado por afecções maternas</v>
      </c>
      <c r="E147" s="2" t="s">
        <v>170</v>
      </c>
      <c r="F147" s="2" t="s">
        <v>171</v>
      </c>
      <c r="G147" s="2" t="s">
        <v>172</v>
      </c>
      <c r="H147" s="2" t="s">
        <v>173</v>
      </c>
      <c r="I147" s="2" t="s">
        <v>174</v>
      </c>
      <c r="J147" s="2" t="s">
        <v>13</v>
      </c>
      <c r="K147" s="2"/>
    </row>
    <row r="148" spans="1:11" ht="52.8" x14ac:dyDescent="0.3">
      <c r="A148" s="2" t="s">
        <v>175</v>
      </c>
      <c r="B148" s="2" t="str">
        <f t="shared" ref="B148:B156" si="3">A148</f>
        <v>P01</v>
      </c>
      <c r="C148" s="2" t="str">
        <f t="shared" ref="C148:C156" si="4">E148</f>
        <v>Recém-nascido afetado por complicações maternas da gravidez</v>
      </c>
      <c r="D148" s="2" t="str">
        <f t="shared" ref="D148:D156" si="5">E148</f>
        <v>Recém-nascido afetado por complicações maternas da gravidez</v>
      </c>
      <c r="E148" s="2" t="s">
        <v>176</v>
      </c>
      <c r="F148" s="2" t="s">
        <v>171</v>
      </c>
      <c r="G148" s="2" t="s">
        <v>172</v>
      </c>
      <c r="H148" s="2" t="s">
        <v>173</v>
      </c>
      <c r="I148" s="2" t="s">
        <v>174</v>
      </c>
      <c r="J148" s="2" t="s">
        <v>13</v>
      </c>
      <c r="K148" s="2"/>
    </row>
    <row r="149" spans="1:11" ht="66" x14ac:dyDescent="0.3">
      <c r="A149" s="2" t="s">
        <v>177</v>
      </c>
      <c r="B149" s="2" t="str">
        <f t="shared" si="3"/>
        <v>P02</v>
      </c>
      <c r="C149" s="2" t="str">
        <f t="shared" si="4"/>
        <v>Recém-nascido afetado por complicações da placenta, do cordão e das membranas</v>
      </c>
      <c r="D149" s="2" t="str">
        <f t="shared" si="5"/>
        <v>Recém-nascido afetado por complicações da placenta, do cordão e das membranas</v>
      </c>
      <c r="E149" s="2" t="s">
        <v>178</v>
      </c>
      <c r="F149" s="2" t="s">
        <v>171</v>
      </c>
      <c r="G149" s="2" t="s">
        <v>172</v>
      </c>
      <c r="H149" s="2" t="s">
        <v>173</v>
      </c>
      <c r="I149" s="2" t="s">
        <v>174</v>
      </c>
      <c r="J149" s="2" t="s">
        <v>13</v>
      </c>
      <c r="K149" s="2"/>
    </row>
    <row r="150" spans="1:11" ht="39.6" x14ac:dyDescent="0.3">
      <c r="A150" s="2" t="s">
        <v>179</v>
      </c>
      <c r="B150" s="2" t="str">
        <f t="shared" si="3"/>
        <v>P05</v>
      </c>
      <c r="C150" s="2" t="str">
        <f t="shared" si="4"/>
        <v>Crescimento fetal retardado e desnutrição fetal</v>
      </c>
      <c r="D150" s="2" t="str">
        <f t="shared" si="5"/>
        <v>Crescimento fetal retardado e desnutrição fetal</v>
      </c>
      <c r="E150" s="2" t="s">
        <v>180</v>
      </c>
      <c r="F150" s="2" t="s">
        <v>171</v>
      </c>
      <c r="G150" s="2" t="s">
        <v>172</v>
      </c>
      <c r="H150" s="2" t="s">
        <v>173</v>
      </c>
      <c r="I150" s="2" t="s">
        <v>181</v>
      </c>
      <c r="J150" s="2" t="s">
        <v>13</v>
      </c>
      <c r="K150" s="2"/>
    </row>
    <row r="151" spans="1:11" ht="66" x14ac:dyDescent="0.3">
      <c r="A151" s="2" t="s">
        <v>182</v>
      </c>
      <c r="B151" s="2" t="str">
        <f t="shared" si="3"/>
        <v>P07</v>
      </c>
      <c r="C151" s="2" t="str">
        <f t="shared" si="4"/>
        <v>Transtornos relacionados com gestação de curta duração e baixo peso ao nascer</v>
      </c>
      <c r="D151" s="2" t="str">
        <f t="shared" si="5"/>
        <v>Transtornos relacionados com gestação de curta duração e baixo peso ao nascer</v>
      </c>
      <c r="E151" s="2" t="s">
        <v>183</v>
      </c>
      <c r="F151" s="2" t="s">
        <v>171</v>
      </c>
      <c r="G151" s="2" t="s">
        <v>172</v>
      </c>
      <c r="H151" s="2" t="s">
        <v>173</v>
      </c>
      <c r="I151" s="2" t="s">
        <v>181</v>
      </c>
      <c r="J151" s="2" t="s">
        <v>13</v>
      </c>
      <c r="K151" s="2"/>
    </row>
    <row r="152" spans="1:11" ht="26.4" x14ac:dyDescent="0.3">
      <c r="A152" s="2" t="s">
        <v>184</v>
      </c>
      <c r="B152" s="2" t="str">
        <f t="shared" si="3"/>
        <v>P20</v>
      </c>
      <c r="C152" s="2" t="str">
        <f t="shared" si="4"/>
        <v>Hipóxia intrauterina</v>
      </c>
      <c r="D152" s="2" t="str">
        <f t="shared" si="5"/>
        <v>Hipóxia intrauterina</v>
      </c>
      <c r="E152" s="2" t="s">
        <v>185</v>
      </c>
      <c r="F152" s="2" t="s">
        <v>171</v>
      </c>
      <c r="G152" s="2" t="s">
        <v>172</v>
      </c>
      <c r="H152" s="2" t="s">
        <v>173</v>
      </c>
      <c r="I152" s="2" t="s">
        <v>186</v>
      </c>
      <c r="J152" s="2" t="s">
        <v>13</v>
      </c>
      <c r="K152" s="2"/>
    </row>
    <row r="153" spans="1:11" ht="26.4" x14ac:dyDescent="0.3">
      <c r="A153" s="2" t="s">
        <v>187</v>
      </c>
      <c r="B153" s="2" t="str">
        <f t="shared" si="3"/>
        <v>P21</v>
      </c>
      <c r="C153" s="2" t="str">
        <f t="shared" si="4"/>
        <v>Asfixia ao nascer</v>
      </c>
      <c r="D153" s="2" t="str">
        <f t="shared" si="5"/>
        <v>Asfixia ao nascer</v>
      </c>
      <c r="E153" s="2" t="s">
        <v>188</v>
      </c>
      <c r="F153" s="2" t="s">
        <v>171</v>
      </c>
      <c r="G153" s="2" t="s">
        <v>172</v>
      </c>
      <c r="H153" s="2" t="s">
        <v>173</v>
      </c>
      <c r="I153" s="2" t="s">
        <v>186</v>
      </c>
      <c r="J153" s="2" t="s">
        <v>13</v>
      </c>
      <c r="K153" s="2"/>
    </row>
    <row r="154" spans="1:11" ht="39.6" x14ac:dyDescent="0.3">
      <c r="A154" s="2" t="s">
        <v>189</v>
      </c>
      <c r="B154" s="2" t="str">
        <f t="shared" si="3"/>
        <v>P22</v>
      </c>
      <c r="C154" s="2" t="str">
        <f t="shared" si="4"/>
        <v>Desconforto respiratório do recém-nascido</v>
      </c>
      <c r="D154" s="2" t="str">
        <f t="shared" si="5"/>
        <v>Desconforto respiratório do recém-nascido</v>
      </c>
      <c r="E154" s="2" t="s">
        <v>190</v>
      </c>
      <c r="F154" s="2" t="s">
        <v>171</v>
      </c>
      <c r="G154" s="2" t="s">
        <v>172</v>
      </c>
      <c r="H154" s="2" t="s">
        <v>173</v>
      </c>
      <c r="I154" s="2" t="s">
        <v>125</v>
      </c>
      <c r="J154" s="2" t="s">
        <v>13</v>
      </c>
      <c r="K154" s="2"/>
    </row>
    <row r="155" spans="1:11" ht="26.4" x14ac:dyDescent="0.3">
      <c r="A155" s="2" t="s">
        <v>191</v>
      </c>
      <c r="B155" s="2" t="str">
        <f t="shared" si="3"/>
        <v>P23</v>
      </c>
      <c r="C155" s="2" t="str">
        <f t="shared" si="4"/>
        <v>Pneumonia congênita</v>
      </c>
      <c r="D155" s="2" t="str">
        <f t="shared" si="5"/>
        <v>Pneumonia congênita</v>
      </c>
      <c r="E155" s="2" t="s">
        <v>192</v>
      </c>
      <c r="F155" s="2" t="s">
        <v>171</v>
      </c>
      <c r="G155" s="2" t="s">
        <v>172</v>
      </c>
      <c r="H155" s="2" t="s">
        <v>173</v>
      </c>
      <c r="I155" s="2" t="s">
        <v>109</v>
      </c>
      <c r="J155" s="2" t="s">
        <v>13</v>
      </c>
      <c r="K155" s="2"/>
    </row>
    <row r="156" spans="1:11" ht="26.4" x14ac:dyDescent="0.3">
      <c r="A156" s="2" t="s">
        <v>193</v>
      </c>
      <c r="B156" s="2" t="str">
        <f t="shared" si="3"/>
        <v>P24</v>
      </c>
      <c r="C156" s="2" t="str">
        <f t="shared" si="4"/>
        <v>Síndromes de aspiração neonatal</v>
      </c>
      <c r="D156" s="2" t="str">
        <f t="shared" si="5"/>
        <v>Síndromes de aspiração neonatal</v>
      </c>
      <c r="E156" s="2" t="s">
        <v>194</v>
      </c>
      <c r="F156" s="2" t="s">
        <v>171</v>
      </c>
      <c r="G156" s="2" t="s">
        <v>172</v>
      </c>
      <c r="H156" s="2" t="s">
        <v>173</v>
      </c>
      <c r="I156" s="2" t="s">
        <v>195</v>
      </c>
      <c r="J156" s="2" t="s">
        <v>13</v>
      </c>
      <c r="K156" s="2"/>
    </row>
    <row r="157" spans="1:11" ht="39.6" x14ac:dyDescent="0.3">
      <c r="A157" s="2" t="s">
        <v>196</v>
      </c>
      <c r="B157" s="2" t="str">
        <f>A157</f>
        <v>P27</v>
      </c>
      <c r="C157" s="2" t="str">
        <f>E157</f>
        <v>Doença respiratória crônica originada no período perinatal</v>
      </c>
      <c r="D157" s="2" t="str">
        <f>E157</f>
        <v>Doença respiratória crônica originada no período perinatal</v>
      </c>
      <c r="E157" s="2" t="s">
        <v>197</v>
      </c>
      <c r="F157" s="2" t="s">
        <v>171</v>
      </c>
      <c r="G157" s="2" t="s">
        <v>172</v>
      </c>
      <c r="H157" s="2" t="s">
        <v>173</v>
      </c>
      <c r="I157" s="2" t="s">
        <v>125</v>
      </c>
      <c r="J157" s="2" t="s">
        <v>13</v>
      </c>
      <c r="K157" s="2"/>
    </row>
    <row r="158" spans="1:11" ht="26.4" x14ac:dyDescent="0.3">
      <c r="A158" s="2" t="s">
        <v>198</v>
      </c>
      <c r="B158" s="2" t="s">
        <v>596</v>
      </c>
      <c r="C158" s="2" t="s">
        <v>597</v>
      </c>
      <c r="D158" s="2" t="str">
        <f>C158</f>
        <v>Atelectasia primária do recém-nascido</v>
      </c>
      <c r="E158" s="2" t="s">
        <v>199</v>
      </c>
      <c r="F158" s="2" t="s">
        <v>171</v>
      </c>
      <c r="G158" s="2" t="s">
        <v>172</v>
      </c>
      <c r="H158" s="2" t="s">
        <v>173</v>
      </c>
      <c r="I158" s="2" t="s">
        <v>125</v>
      </c>
      <c r="J158" s="2" t="s">
        <v>27</v>
      </c>
      <c r="K158" s="2"/>
    </row>
    <row r="159" spans="1:11" ht="39.6" x14ac:dyDescent="0.3">
      <c r="A159" s="2" t="s">
        <v>198</v>
      </c>
      <c r="B159" s="2" t="s">
        <v>598</v>
      </c>
      <c r="C159" s="2" t="s">
        <v>599</v>
      </c>
      <c r="D159" s="2" t="str">
        <f>C159</f>
        <v>Outras atelectasias do recém-nascido e as não especificadas</v>
      </c>
      <c r="E159" s="2" t="s">
        <v>199</v>
      </c>
      <c r="F159" s="2" t="s">
        <v>171</v>
      </c>
      <c r="G159" s="2" t="s">
        <v>172</v>
      </c>
      <c r="H159" s="2" t="s">
        <v>173</v>
      </c>
      <c r="I159" s="2" t="s">
        <v>125</v>
      </c>
      <c r="J159" s="2" t="s">
        <v>27</v>
      </c>
      <c r="K159" s="2"/>
    </row>
    <row r="160" spans="1:11" ht="26.4" x14ac:dyDescent="0.3">
      <c r="A160" s="2" t="s">
        <v>198</v>
      </c>
      <c r="B160" s="2" t="s">
        <v>600</v>
      </c>
      <c r="C160" s="2" t="s">
        <v>601</v>
      </c>
      <c r="D160" s="2" t="str">
        <f>C160</f>
        <v>Crises cianóticas do recém-nascido</v>
      </c>
      <c r="E160" s="2" t="s">
        <v>199</v>
      </c>
      <c r="F160" s="2" t="s">
        <v>171</v>
      </c>
      <c r="G160" s="2" t="s">
        <v>172</v>
      </c>
      <c r="H160" s="2" t="s">
        <v>173</v>
      </c>
      <c r="I160" s="2" t="s">
        <v>125</v>
      </c>
      <c r="J160" s="2" t="s">
        <v>27</v>
      </c>
      <c r="K160" s="2"/>
    </row>
    <row r="161" spans="1:11" ht="39.6" x14ac:dyDescent="0.3">
      <c r="A161" s="2" t="s">
        <v>198</v>
      </c>
      <c r="B161" s="2" t="s">
        <v>602</v>
      </c>
      <c r="C161" s="2" t="s">
        <v>603</v>
      </c>
      <c r="D161" s="2" t="str">
        <f>C161</f>
        <v>Apnéia primária do sono do recém-nascido</v>
      </c>
      <c r="E161" s="2" t="s">
        <v>199</v>
      </c>
      <c r="F161" s="2" t="s">
        <v>171</v>
      </c>
      <c r="G161" s="2" t="s">
        <v>172</v>
      </c>
      <c r="H161" s="2" t="s">
        <v>173</v>
      </c>
      <c r="I161" s="2" t="s">
        <v>125</v>
      </c>
      <c r="J161" s="2" t="s">
        <v>27</v>
      </c>
      <c r="K161" s="2"/>
    </row>
    <row r="162" spans="1:11" ht="26.4" x14ac:dyDescent="0.3">
      <c r="A162" s="2" t="s">
        <v>198</v>
      </c>
      <c r="B162" s="2" t="s">
        <v>604</v>
      </c>
      <c r="C162" s="2" t="s">
        <v>605</v>
      </c>
      <c r="D162" s="2" t="str">
        <f>C162</f>
        <v>Outras apnéias do recém-nascido</v>
      </c>
      <c r="E162" s="2" t="s">
        <v>199</v>
      </c>
      <c r="F162" s="2" t="s">
        <v>171</v>
      </c>
      <c r="G162" s="2" t="s">
        <v>172</v>
      </c>
      <c r="H162" s="2" t="s">
        <v>173</v>
      </c>
      <c r="I162" s="2" t="s">
        <v>125</v>
      </c>
      <c r="J162" s="2" t="s">
        <v>27</v>
      </c>
      <c r="K162" s="2"/>
    </row>
    <row r="163" spans="1:11" ht="39.6" x14ac:dyDescent="0.3">
      <c r="A163" s="2" t="s">
        <v>198</v>
      </c>
      <c r="B163" s="2" t="s">
        <v>606</v>
      </c>
      <c r="C163" s="2" t="s">
        <v>607</v>
      </c>
      <c r="D163" s="2" t="str">
        <f>C163</f>
        <v>Insuficiência respiratória do recém-nascido</v>
      </c>
      <c r="E163" s="2" t="s">
        <v>199</v>
      </c>
      <c r="F163" s="2" t="s">
        <v>171</v>
      </c>
      <c r="G163" s="2" t="s">
        <v>172</v>
      </c>
      <c r="H163" s="2" t="s">
        <v>173</v>
      </c>
      <c r="I163" s="2" t="s">
        <v>125</v>
      </c>
      <c r="J163" s="2" t="s">
        <v>27</v>
      </c>
      <c r="K163" s="2"/>
    </row>
    <row r="164" spans="1:11" ht="52.8" x14ac:dyDescent="0.3">
      <c r="A164" s="2" t="s">
        <v>198</v>
      </c>
      <c r="B164" s="2" t="s">
        <v>608</v>
      </c>
      <c r="C164" s="2" t="s">
        <v>609</v>
      </c>
      <c r="D164" s="2" t="str">
        <f>C164</f>
        <v>Outras afecções respiratórias especificadas do recém-nascido</v>
      </c>
      <c r="E164" s="2" t="s">
        <v>199</v>
      </c>
      <c r="F164" s="2" t="s">
        <v>171</v>
      </c>
      <c r="G164" s="2" t="s">
        <v>172</v>
      </c>
      <c r="H164" s="2" t="s">
        <v>173</v>
      </c>
      <c r="I164" s="2" t="s">
        <v>125</v>
      </c>
      <c r="J164" s="2" t="s">
        <v>27</v>
      </c>
      <c r="K164" s="2"/>
    </row>
    <row r="165" spans="1:11" ht="39.6" x14ac:dyDescent="0.3">
      <c r="A165" s="2" t="s">
        <v>198</v>
      </c>
      <c r="B165" s="2" t="s">
        <v>610</v>
      </c>
      <c r="C165" s="2" t="s">
        <v>611</v>
      </c>
      <c r="D165" s="2" t="str">
        <f>C165</f>
        <v>Afecção respiratória do recém-nascido, não especificada</v>
      </c>
      <c r="E165" s="2" t="s">
        <v>199</v>
      </c>
      <c r="F165" s="2" t="s">
        <v>171</v>
      </c>
      <c r="G165" s="2" t="s">
        <v>172</v>
      </c>
      <c r="H165" s="2" t="s">
        <v>173</v>
      </c>
      <c r="I165" s="2" t="s">
        <v>125</v>
      </c>
      <c r="J165" s="2" t="s">
        <v>27</v>
      </c>
      <c r="K165" s="2"/>
    </row>
    <row r="166" spans="1:11" ht="52.8" x14ac:dyDescent="0.3">
      <c r="A166" s="2" t="s">
        <v>200</v>
      </c>
      <c r="B166" s="2" t="str">
        <f>A166</f>
        <v>P29</v>
      </c>
      <c r="C166" s="2" t="str">
        <f>E166</f>
        <v>Transtornos cardiovasculares originados no período perinatal</v>
      </c>
      <c r="D166" s="2" t="str">
        <f>E166</f>
        <v>Transtornos cardiovasculares originados no período perinatal</v>
      </c>
      <c r="E166" s="2" t="s">
        <v>201</v>
      </c>
      <c r="F166" s="2" t="s">
        <v>171</v>
      </c>
      <c r="G166" s="2" t="s">
        <v>172</v>
      </c>
      <c r="H166" s="2" t="s">
        <v>173</v>
      </c>
      <c r="I166" s="2" t="s">
        <v>202</v>
      </c>
      <c r="J166" s="2" t="s">
        <v>13</v>
      </c>
      <c r="K166" s="2"/>
    </row>
    <row r="167" spans="1:11" ht="26.4" x14ac:dyDescent="0.3">
      <c r="A167" s="2" t="s">
        <v>203</v>
      </c>
      <c r="B167" s="2" t="str">
        <f>A167</f>
        <v>P35</v>
      </c>
      <c r="C167" s="2" t="str">
        <f>E167</f>
        <v>Doenças virais congênitas</v>
      </c>
      <c r="D167" s="2" t="str">
        <f>E167</f>
        <v>Doenças virais congênitas</v>
      </c>
      <c r="E167" s="2" t="s">
        <v>204</v>
      </c>
      <c r="F167" s="2" t="s">
        <v>171</v>
      </c>
      <c r="G167" s="2" t="s">
        <v>172</v>
      </c>
      <c r="H167" s="2" t="s">
        <v>173</v>
      </c>
      <c r="I167" s="2" t="s">
        <v>35</v>
      </c>
      <c r="J167" s="2" t="s">
        <v>13</v>
      </c>
      <c r="K167" s="2"/>
    </row>
    <row r="168" spans="1:11" ht="26.4" x14ac:dyDescent="0.3">
      <c r="A168" s="2" t="s">
        <v>205</v>
      </c>
      <c r="B168" s="2" t="str">
        <f>A168</f>
        <v>P36</v>
      </c>
      <c r="C168" s="2" t="str">
        <f>E168</f>
        <v>Septicemia bacteriana do recém-nascido</v>
      </c>
      <c r="D168" s="2" t="str">
        <f>E168</f>
        <v>Septicemia bacteriana do recém-nascido</v>
      </c>
      <c r="E168" s="2" t="s">
        <v>206</v>
      </c>
      <c r="F168" s="2" t="s">
        <v>171</v>
      </c>
      <c r="G168" s="2" t="s">
        <v>172</v>
      </c>
      <c r="H168" s="2" t="s">
        <v>173</v>
      </c>
      <c r="I168" s="2" t="s">
        <v>20</v>
      </c>
      <c r="J168" s="2" t="s">
        <v>13</v>
      </c>
      <c r="K168" s="2"/>
    </row>
    <row r="169" spans="1:11" ht="26.4" x14ac:dyDescent="0.3">
      <c r="A169" s="2" t="s">
        <v>207</v>
      </c>
      <c r="B169" s="2" t="s">
        <v>613</v>
      </c>
      <c r="C169" s="2" t="s">
        <v>614</v>
      </c>
      <c r="D169" s="2" t="str">
        <f>C169</f>
        <v>Tuberculose congênita</v>
      </c>
      <c r="E169" s="2" t="s">
        <v>208</v>
      </c>
      <c r="F169" s="2" t="s">
        <v>171</v>
      </c>
      <c r="G169" s="2" t="s">
        <v>172</v>
      </c>
      <c r="H169" s="2" t="s">
        <v>173</v>
      </c>
      <c r="I169" s="2" t="s">
        <v>35</v>
      </c>
      <c r="J169" s="2" t="s">
        <v>13</v>
      </c>
      <c r="K169" s="2"/>
    </row>
    <row r="170" spans="1:11" ht="26.4" x14ac:dyDescent="0.3">
      <c r="A170" s="2" t="s">
        <v>207</v>
      </c>
      <c r="B170" s="2" t="s">
        <v>615</v>
      </c>
      <c r="C170" s="2" t="s">
        <v>616</v>
      </c>
      <c r="D170" s="2" t="str">
        <f>C170</f>
        <v>Toxoplasmose congênita</v>
      </c>
      <c r="E170" s="2" t="s">
        <v>208</v>
      </c>
      <c r="F170" s="2" t="s">
        <v>171</v>
      </c>
      <c r="G170" s="2" t="s">
        <v>172</v>
      </c>
      <c r="H170" s="2" t="s">
        <v>173</v>
      </c>
      <c r="I170" s="2" t="s">
        <v>35</v>
      </c>
      <c r="J170" s="2" t="s">
        <v>13</v>
      </c>
      <c r="K170" s="2"/>
    </row>
    <row r="171" spans="1:11" ht="26.4" x14ac:dyDescent="0.3">
      <c r="A171" s="2" t="s">
        <v>207</v>
      </c>
      <c r="B171" s="2" t="s">
        <v>617</v>
      </c>
      <c r="C171" s="2" t="s">
        <v>618</v>
      </c>
      <c r="D171" s="2" t="str">
        <f>C171</f>
        <v>Listeriose neonatal (disseminada)</v>
      </c>
      <c r="E171" s="2" t="s">
        <v>208</v>
      </c>
      <c r="F171" s="2" t="s">
        <v>171</v>
      </c>
      <c r="G171" s="2" t="s">
        <v>172</v>
      </c>
      <c r="H171" s="2" t="s">
        <v>173</v>
      </c>
      <c r="I171" s="2" t="s">
        <v>35</v>
      </c>
      <c r="J171" s="2" t="s">
        <v>13</v>
      </c>
      <c r="K171" s="2"/>
    </row>
    <row r="172" spans="1:11" ht="26.4" x14ac:dyDescent="0.3">
      <c r="A172" s="2" t="s">
        <v>207</v>
      </c>
      <c r="B172" s="2" t="s">
        <v>619</v>
      </c>
      <c r="C172" s="2" t="s">
        <v>620</v>
      </c>
      <c r="D172" s="2" t="str">
        <f>C172</f>
        <v>Malária falciparum congênita</v>
      </c>
      <c r="E172" s="2" t="s">
        <v>208</v>
      </c>
      <c r="F172" s="2" t="s">
        <v>171</v>
      </c>
      <c r="G172" s="2" t="s">
        <v>172</v>
      </c>
      <c r="H172" s="2" t="s">
        <v>173</v>
      </c>
      <c r="I172" s="2" t="s">
        <v>35</v>
      </c>
      <c r="J172" s="2" t="s">
        <v>13</v>
      </c>
      <c r="K172" s="2"/>
    </row>
    <row r="173" spans="1:11" ht="26.4" x14ac:dyDescent="0.3">
      <c r="A173" s="2" t="s">
        <v>207</v>
      </c>
      <c r="B173" s="2" t="s">
        <v>621</v>
      </c>
      <c r="C173" s="2" t="s">
        <v>622</v>
      </c>
      <c r="D173" s="2" t="str">
        <f>C173</f>
        <v>Outras malárias congênitas</v>
      </c>
      <c r="E173" s="2" t="s">
        <v>208</v>
      </c>
      <c r="F173" s="2" t="s">
        <v>171</v>
      </c>
      <c r="G173" s="2" t="s">
        <v>172</v>
      </c>
      <c r="H173" s="2" t="s">
        <v>173</v>
      </c>
      <c r="I173" s="2" t="s">
        <v>35</v>
      </c>
      <c r="J173" s="2" t="s">
        <v>13</v>
      </c>
      <c r="K173" s="2"/>
    </row>
    <row r="174" spans="1:11" ht="26.4" x14ac:dyDescent="0.3">
      <c r="A174" s="2" t="s">
        <v>207</v>
      </c>
      <c r="B174" s="2" t="s">
        <v>623</v>
      </c>
      <c r="C174" s="2" t="s">
        <v>624</v>
      </c>
      <c r="D174" s="2" t="str">
        <f>C174</f>
        <v>Candidíase neonatal</v>
      </c>
      <c r="E174" s="2" t="s">
        <v>208</v>
      </c>
      <c r="F174" s="2" t="s">
        <v>171</v>
      </c>
      <c r="G174" s="2" t="s">
        <v>172</v>
      </c>
      <c r="H174" s="2" t="s">
        <v>173</v>
      </c>
      <c r="I174" s="2" t="s">
        <v>35</v>
      </c>
      <c r="J174" s="2" t="s">
        <v>13</v>
      </c>
      <c r="K174" s="2"/>
    </row>
    <row r="175" spans="1:11" ht="52.8" x14ac:dyDescent="0.3">
      <c r="A175" s="2" t="s">
        <v>207</v>
      </c>
      <c r="B175" s="2" t="s">
        <v>625</v>
      </c>
      <c r="C175" s="2" t="s">
        <v>626</v>
      </c>
      <c r="D175" s="2" t="str">
        <f>E175</f>
        <v>Outras doenças infecciosas e parasitárias congênitas</v>
      </c>
      <c r="E175" s="2" t="s">
        <v>208</v>
      </c>
      <c r="F175" s="2" t="s">
        <v>171</v>
      </c>
      <c r="G175" s="2" t="s">
        <v>172</v>
      </c>
      <c r="H175" s="2" t="s">
        <v>173</v>
      </c>
      <c r="I175" s="2" t="s">
        <v>35</v>
      </c>
      <c r="J175" s="2" t="s">
        <v>13</v>
      </c>
      <c r="K175" s="2"/>
    </row>
    <row r="176" spans="1:11" ht="52.8" x14ac:dyDescent="0.3">
      <c r="A176" s="2" t="s">
        <v>207</v>
      </c>
      <c r="B176" s="2" t="s">
        <v>627</v>
      </c>
      <c r="C176" s="2" t="s">
        <v>628</v>
      </c>
      <c r="D176" s="2" t="str">
        <f>E176</f>
        <v>Outras doenças infecciosas e parasitárias congênitas</v>
      </c>
      <c r="E176" s="2" t="s">
        <v>208</v>
      </c>
      <c r="F176" s="2" t="s">
        <v>171</v>
      </c>
      <c r="G176" s="2" t="s">
        <v>172</v>
      </c>
      <c r="H176" s="2" t="s">
        <v>173</v>
      </c>
      <c r="I176" s="2" t="s">
        <v>35</v>
      </c>
      <c r="J176" s="2" t="s">
        <v>13</v>
      </c>
      <c r="K176" s="2"/>
    </row>
    <row r="177" spans="1:11" ht="26.4" x14ac:dyDescent="0.3">
      <c r="A177" s="2" t="s">
        <v>209</v>
      </c>
      <c r="B177" s="2" t="s">
        <v>629</v>
      </c>
      <c r="C177" s="2" t="s">
        <v>630</v>
      </c>
      <c r="D177" s="2" t="str">
        <f>C177</f>
        <v>Mastite infecciosa neonatal</v>
      </c>
      <c r="E177" s="2" t="s">
        <v>210</v>
      </c>
      <c r="F177" s="2" t="s">
        <v>171</v>
      </c>
      <c r="G177" s="2" t="s">
        <v>172</v>
      </c>
      <c r="H177" s="2" t="s">
        <v>173</v>
      </c>
      <c r="I177" s="2" t="s">
        <v>20</v>
      </c>
      <c r="J177" s="2" t="s">
        <v>27</v>
      </c>
      <c r="K177" s="2"/>
    </row>
    <row r="178" spans="1:11" ht="26.4" x14ac:dyDescent="0.3">
      <c r="A178" s="2" t="s">
        <v>209</v>
      </c>
      <c r="B178" s="2" t="s">
        <v>631</v>
      </c>
      <c r="C178" s="2" t="s">
        <v>632</v>
      </c>
      <c r="D178" s="2" t="str">
        <f>C178</f>
        <v>Conjuntivite e dacriocistite neonatais</v>
      </c>
      <c r="E178" s="2" t="s">
        <v>210</v>
      </c>
      <c r="F178" s="2" t="s">
        <v>171</v>
      </c>
      <c r="G178" s="2" t="s">
        <v>172</v>
      </c>
      <c r="H178" s="2" t="s">
        <v>173</v>
      </c>
      <c r="I178" s="2" t="s">
        <v>20</v>
      </c>
      <c r="J178" s="2" t="s">
        <v>27</v>
      </c>
      <c r="K178" s="2"/>
    </row>
    <row r="179" spans="1:11" ht="52.8" x14ac:dyDescent="0.3">
      <c r="A179" s="2" t="s">
        <v>209</v>
      </c>
      <c r="B179" s="2" t="s">
        <v>633</v>
      </c>
      <c r="C179" s="2" t="s">
        <v>634</v>
      </c>
      <c r="D179" s="2" t="str">
        <f>C179</f>
        <v>Infecção intra-amniótica do feto não classificada em outra parte</v>
      </c>
      <c r="E179" s="2" t="s">
        <v>210</v>
      </c>
      <c r="F179" s="2" t="s">
        <v>171</v>
      </c>
      <c r="G179" s="2" t="s">
        <v>172</v>
      </c>
      <c r="H179" s="2" t="s">
        <v>173</v>
      </c>
      <c r="I179" s="2" t="s">
        <v>20</v>
      </c>
      <c r="J179" s="2" t="s">
        <v>27</v>
      </c>
      <c r="K179" s="2"/>
    </row>
    <row r="180" spans="1:11" ht="26.4" x14ac:dyDescent="0.3">
      <c r="A180" s="2" t="s">
        <v>209</v>
      </c>
      <c r="B180" s="2" t="s">
        <v>635</v>
      </c>
      <c r="C180" s="2" t="s">
        <v>636</v>
      </c>
      <c r="D180" s="2" t="str">
        <f>C180</f>
        <v>Infecção neonatal do trato urinário</v>
      </c>
      <c r="E180" s="2" t="s">
        <v>210</v>
      </c>
      <c r="F180" s="2" t="s">
        <v>171</v>
      </c>
      <c r="G180" s="2" t="s">
        <v>172</v>
      </c>
      <c r="H180" s="2" t="s">
        <v>173</v>
      </c>
      <c r="I180" s="2" t="s">
        <v>20</v>
      </c>
      <c r="J180" s="2" t="s">
        <v>27</v>
      </c>
      <c r="K180" s="2"/>
    </row>
    <row r="181" spans="1:11" ht="26.4" x14ac:dyDescent="0.3">
      <c r="A181" s="2" t="s">
        <v>209</v>
      </c>
      <c r="B181" s="2" t="s">
        <v>637</v>
      </c>
      <c r="C181" s="2" t="s">
        <v>638</v>
      </c>
      <c r="D181" s="2" t="str">
        <f>C181</f>
        <v>Infecção neonatal da pele</v>
      </c>
      <c r="E181" s="2" t="s">
        <v>210</v>
      </c>
      <c r="F181" s="2" t="s">
        <v>171</v>
      </c>
      <c r="G181" s="2" t="s">
        <v>172</v>
      </c>
      <c r="H181" s="2" t="s">
        <v>173</v>
      </c>
      <c r="I181" s="2" t="s">
        <v>20</v>
      </c>
      <c r="J181" s="2" t="s">
        <v>27</v>
      </c>
      <c r="K181" s="2"/>
    </row>
    <row r="182" spans="1:11" ht="39.6" x14ac:dyDescent="0.3">
      <c r="A182" s="2" t="s">
        <v>209</v>
      </c>
      <c r="B182" s="2" t="s">
        <v>639</v>
      </c>
      <c r="C182" s="2" t="s">
        <v>640</v>
      </c>
      <c r="D182" s="2" t="str">
        <f>E182</f>
        <v>Outras infecções próprias do período perinatal</v>
      </c>
      <c r="E182" s="2" t="s">
        <v>210</v>
      </c>
      <c r="F182" s="2" t="s">
        <v>171</v>
      </c>
      <c r="G182" s="2" t="s">
        <v>172</v>
      </c>
      <c r="H182" s="2" t="s">
        <v>173</v>
      </c>
      <c r="I182" s="2" t="s">
        <v>20</v>
      </c>
      <c r="J182" s="2" t="s">
        <v>27</v>
      </c>
      <c r="K182" s="2"/>
    </row>
    <row r="183" spans="1:11" ht="39.6" x14ac:dyDescent="0.3">
      <c r="A183" s="2" t="s">
        <v>209</v>
      </c>
      <c r="B183" s="2" t="s">
        <v>641</v>
      </c>
      <c r="C183" s="2" t="s">
        <v>642</v>
      </c>
      <c r="D183" s="2" t="str">
        <f>E183</f>
        <v>Outras infecções próprias do período perinatal</v>
      </c>
      <c r="E183" s="2" t="s">
        <v>210</v>
      </c>
      <c r="F183" s="2" t="s">
        <v>171</v>
      </c>
      <c r="G183" s="2" t="s">
        <v>172</v>
      </c>
      <c r="H183" s="2" t="s">
        <v>173</v>
      </c>
      <c r="I183" s="2" t="s">
        <v>20</v>
      </c>
      <c r="J183" s="2" t="s">
        <v>27</v>
      </c>
      <c r="K183" s="2"/>
    </row>
    <row r="184" spans="1:11" ht="26.4" x14ac:dyDescent="0.3">
      <c r="A184" s="2" t="s">
        <v>211</v>
      </c>
      <c r="B184" s="2" t="str">
        <f>A184</f>
        <v>P57</v>
      </c>
      <c r="C184" s="2" t="str">
        <f>E184</f>
        <v>Kernicterus</v>
      </c>
      <c r="D184" s="2" t="str">
        <f>E184</f>
        <v>Kernicterus</v>
      </c>
      <c r="E184" s="2" t="s">
        <v>212</v>
      </c>
      <c r="F184" s="2" t="s">
        <v>171</v>
      </c>
      <c r="G184" s="2" t="s">
        <v>172</v>
      </c>
      <c r="H184" s="2" t="s">
        <v>173</v>
      </c>
      <c r="I184" s="2" t="s">
        <v>213</v>
      </c>
      <c r="J184" s="2" t="s">
        <v>13</v>
      </c>
      <c r="K184" s="2"/>
    </row>
    <row r="185" spans="1:11" ht="39.6" x14ac:dyDescent="0.3">
      <c r="A185" s="2" t="s">
        <v>214</v>
      </c>
      <c r="B185" s="2" t="str">
        <f>A185</f>
        <v>P58</v>
      </c>
      <c r="C185" s="2" t="str">
        <f>E185</f>
        <v>Icterícia neonatal devida a outras hemólises excessivas</v>
      </c>
      <c r="D185" s="2" t="str">
        <f>E185</f>
        <v>Icterícia neonatal devida a outras hemólises excessivas</v>
      </c>
      <c r="E185" s="2" t="s">
        <v>215</v>
      </c>
      <c r="F185" s="2" t="s">
        <v>171</v>
      </c>
      <c r="G185" s="2" t="s">
        <v>172</v>
      </c>
      <c r="H185" s="2" t="s">
        <v>173</v>
      </c>
      <c r="I185" s="2" t="s">
        <v>213</v>
      </c>
      <c r="J185" s="2" t="s">
        <v>13</v>
      </c>
      <c r="K185" s="2"/>
    </row>
    <row r="186" spans="1:11" ht="52.8" x14ac:dyDescent="0.3">
      <c r="A186" s="2" t="s">
        <v>216</v>
      </c>
      <c r="B186" s="2" t="str">
        <f>A186</f>
        <v>P59</v>
      </c>
      <c r="C186" s="2" t="str">
        <f>E186</f>
        <v>Icterícia neonatal devida a outras causas e às não especificadas</v>
      </c>
      <c r="D186" s="2" t="str">
        <f>E186</f>
        <v>Icterícia neonatal devida a outras causas e às não especificadas</v>
      </c>
      <c r="E186" s="2" t="s">
        <v>217</v>
      </c>
      <c r="F186" s="2" t="s">
        <v>171</v>
      </c>
      <c r="G186" s="2" t="s">
        <v>172</v>
      </c>
      <c r="H186" s="2" t="s">
        <v>173</v>
      </c>
      <c r="I186" s="2" t="s">
        <v>213</v>
      </c>
      <c r="J186" s="2" t="s">
        <v>27</v>
      </c>
      <c r="K186" s="2"/>
    </row>
    <row r="187" spans="1:11" ht="66" x14ac:dyDescent="0.3">
      <c r="A187" s="2" t="s">
        <v>218</v>
      </c>
      <c r="B187" s="2" t="str">
        <f>A187</f>
        <v>P70</v>
      </c>
      <c r="C187" s="2" t="str">
        <f>E187</f>
        <v>Transtornos transitórios do metabolismo dos carboidratos do recém-nascido</v>
      </c>
      <c r="D187" s="2" t="str">
        <f>E187</f>
        <v>Transtornos transitórios do metabolismo dos carboidratos do recém-nascido</v>
      </c>
      <c r="E187" s="2" t="s">
        <v>219</v>
      </c>
      <c r="F187" s="2" t="s">
        <v>171</v>
      </c>
      <c r="G187" s="2" t="s">
        <v>172</v>
      </c>
      <c r="H187" s="2" t="s">
        <v>173</v>
      </c>
      <c r="I187" s="2" t="s">
        <v>220</v>
      </c>
      <c r="J187" s="2" t="s">
        <v>13</v>
      </c>
      <c r="K187" s="2"/>
    </row>
    <row r="188" spans="1:11" ht="66" x14ac:dyDescent="0.3">
      <c r="A188" s="2" t="s">
        <v>221</v>
      </c>
      <c r="B188" s="2" t="str">
        <f>A188</f>
        <v>P74</v>
      </c>
      <c r="C188" s="2" t="str">
        <f>E188</f>
        <v>Outros distúrbios metabólicos e eletrolíticos transitórios do recém-nascido</v>
      </c>
      <c r="D188" s="2" t="str">
        <f>E188</f>
        <v>Outros distúrbios metabólicos e eletrolíticos transitórios do recém-nascido</v>
      </c>
      <c r="E188" s="2" t="s">
        <v>222</v>
      </c>
      <c r="F188" s="2" t="s">
        <v>171</v>
      </c>
      <c r="G188" s="2" t="s">
        <v>172</v>
      </c>
      <c r="H188" s="2" t="s">
        <v>173</v>
      </c>
      <c r="I188" s="2" t="s">
        <v>220</v>
      </c>
      <c r="J188" s="2" t="s">
        <v>13</v>
      </c>
      <c r="K188" s="2"/>
    </row>
    <row r="189" spans="1:11" ht="39.6" x14ac:dyDescent="0.3">
      <c r="A189" s="2" t="s">
        <v>223</v>
      </c>
      <c r="B189" s="2" t="str">
        <f>A189</f>
        <v>P77</v>
      </c>
      <c r="C189" s="2" t="str">
        <f>E189</f>
        <v>Enterocolite necrotizante do feto e do recém-nascido</v>
      </c>
      <c r="D189" s="2" t="str">
        <f>E189</f>
        <v>Enterocolite necrotizante do feto e do recém-nascido</v>
      </c>
      <c r="E189" s="2" t="s">
        <v>224</v>
      </c>
      <c r="F189" s="2" t="s">
        <v>171</v>
      </c>
      <c r="G189" s="2" t="s">
        <v>172</v>
      </c>
      <c r="H189" s="2" t="s">
        <v>173</v>
      </c>
      <c r="I189" s="2" t="s">
        <v>225</v>
      </c>
      <c r="J189" s="2" t="s">
        <v>13</v>
      </c>
      <c r="K189" s="2"/>
    </row>
    <row r="190" spans="1:11" ht="26.4" x14ac:dyDescent="0.3">
      <c r="A190" s="2" t="s">
        <v>226</v>
      </c>
      <c r="B190" s="2" t="s">
        <v>643</v>
      </c>
      <c r="C190" s="2" t="s">
        <v>644</v>
      </c>
      <c r="D190" s="2" t="str">
        <f>C190</f>
        <v>Esclerema neonatal</v>
      </c>
      <c r="E190" s="2" t="s">
        <v>227</v>
      </c>
      <c r="F190" s="2" t="s">
        <v>171</v>
      </c>
      <c r="G190" s="2" t="s">
        <v>172</v>
      </c>
      <c r="H190" s="2" t="s">
        <v>173</v>
      </c>
      <c r="I190" s="2" t="s">
        <v>228</v>
      </c>
      <c r="J190" s="2" t="s">
        <v>27</v>
      </c>
      <c r="K190" s="2"/>
    </row>
    <row r="191" spans="1:11" ht="26.4" x14ac:dyDescent="0.3">
      <c r="A191" s="2" t="s">
        <v>226</v>
      </c>
      <c r="B191" s="2" t="s">
        <v>645</v>
      </c>
      <c r="C191" s="2" t="s">
        <v>646</v>
      </c>
      <c r="D191" s="2" t="str">
        <f>C191</f>
        <v>Eritema tóxico neonatal</v>
      </c>
      <c r="E191" s="2" t="s">
        <v>227</v>
      </c>
      <c r="F191" s="2" t="s">
        <v>171</v>
      </c>
      <c r="G191" s="2" t="s">
        <v>172</v>
      </c>
      <c r="H191" s="2" t="s">
        <v>173</v>
      </c>
      <c r="I191" s="2" t="s">
        <v>228</v>
      </c>
      <c r="J191" s="2" t="s">
        <v>27</v>
      </c>
      <c r="K191" s="2"/>
    </row>
    <row r="192" spans="1:11" ht="39.6" x14ac:dyDescent="0.3">
      <c r="A192" s="2" t="s">
        <v>226</v>
      </c>
      <c r="B192" s="2" t="s">
        <v>647</v>
      </c>
      <c r="C192" s="2" t="s">
        <v>648</v>
      </c>
      <c r="D192" s="2" t="str">
        <f>C192</f>
        <v>Hidropsia fetal não-devida à doença hemolítica</v>
      </c>
      <c r="E192" s="2" t="s">
        <v>227</v>
      </c>
      <c r="F192" s="2" t="s">
        <v>171</v>
      </c>
      <c r="G192" s="2" t="s">
        <v>172</v>
      </c>
      <c r="H192" s="2" t="s">
        <v>173</v>
      </c>
      <c r="I192" s="2" t="s">
        <v>228</v>
      </c>
      <c r="J192" s="2" t="s">
        <v>27</v>
      </c>
      <c r="K192" s="2"/>
    </row>
    <row r="193" spans="1:11" ht="52.8" x14ac:dyDescent="0.3">
      <c r="A193" s="2" t="s">
        <v>226</v>
      </c>
      <c r="B193" s="2" t="s">
        <v>649</v>
      </c>
      <c r="C193" s="2" t="s">
        <v>650</v>
      </c>
      <c r="D193" s="2" t="str">
        <f>E193</f>
        <v>Outras afecções comprometendo o tegumento do feto e do recém-nascido</v>
      </c>
      <c r="E193" s="2" t="s">
        <v>227</v>
      </c>
      <c r="F193" s="2" t="s">
        <v>171</v>
      </c>
      <c r="G193" s="2" t="s">
        <v>172</v>
      </c>
      <c r="H193" s="2" t="s">
        <v>173</v>
      </c>
      <c r="I193" s="2" t="s">
        <v>228</v>
      </c>
      <c r="J193" s="2" t="s">
        <v>27</v>
      </c>
      <c r="K193" s="2"/>
    </row>
    <row r="194" spans="1:11" ht="39.6" x14ac:dyDescent="0.3">
      <c r="A194" s="2" t="s">
        <v>226</v>
      </c>
      <c r="B194" s="2" t="s">
        <v>651</v>
      </c>
      <c r="C194" s="2" t="s">
        <v>652</v>
      </c>
      <c r="D194" s="2" t="str">
        <f>C194</f>
        <v>Intumescimento mamário do recém-nascido</v>
      </c>
      <c r="E194" s="2" t="s">
        <v>227</v>
      </c>
      <c r="F194" s="2" t="s">
        <v>171</v>
      </c>
      <c r="G194" s="2" t="s">
        <v>172</v>
      </c>
      <c r="H194" s="2" t="s">
        <v>173</v>
      </c>
      <c r="I194" s="2" t="s">
        <v>228</v>
      </c>
      <c r="J194" s="2" t="s">
        <v>27</v>
      </c>
      <c r="K194" s="2"/>
    </row>
    <row r="195" spans="1:11" ht="26.4" x14ac:dyDescent="0.3">
      <c r="A195" s="2" t="s">
        <v>226</v>
      </c>
      <c r="B195" s="2" t="s">
        <v>653</v>
      </c>
      <c r="C195" s="2" t="s">
        <v>654</v>
      </c>
      <c r="D195" s="2" t="str">
        <f>C195</f>
        <v>Hidrocele congênita</v>
      </c>
      <c r="E195" s="2" t="s">
        <v>227</v>
      </c>
      <c r="F195" s="2" t="s">
        <v>171</v>
      </c>
      <c r="G195" s="2" t="s">
        <v>172</v>
      </c>
      <c r="H195" s="2" t="s">
        <v>173</v>
      </c>
      <c r="I195" s="2" t="s">
        <v>228</v>
      </c>
      <c r="J195" s="2" t="s">
        <v>27</v>
      </c>
      <c r="K195" s="2"/>
    </row>
    <row r="196" spans="1:11" ht="26.4" x14ac:dyDescent="0.3">
      <c r="A196" s="2" t="s">
        <v>226</v>
      </c>
      <c r="B196" s="2" t="s">
        <v>655</v>
      </c>
      <c r="C196" s="2" t="s">
        <v>656</v>
      </c>
      <c r="D196" s="2" t="str">
        <f>C196</f>
        <v>Pólipo umbilical do recém-nascido</v>
      </c>
      <c r="E196" s="2" t="s">
        <v>227</v>
      </c>
      <c r="F196" s="2" t="s">
        <v>171</v>
      </c>
      <c r="G196" s="2" t="s">
        <v>172</v>
      </c>
      <c r="H196" s="2" t="s">
        <v>173</v>
      </c>
      <c r="I196" s="2" t="s">
        <v>228</v>
      </c>
      <c r="J196" s="2" t="s">
        <v>27</v>
      </c>
      <c r="K196" s="2"/>
    </row>
    <row r="197" spans="1:11" ht="52.8" x14ac:dyDescent="0.3">
      <c r="A197" s="2" t="s">
        <v>226</v>
      </c>
      <c r="B197" s="2" t="s">
        <v>657</v>
      </c>
      <c r="C197" s="2" t="s">
        <v>658</v>
      </c>
      <c r="D197" s="2" t="str">
        <f>E197</f>
        <v>Outras afecções comprometendo o tegumento do feto e do recém-nascido</v>
      </c>
      <c r="E197" s="2" t="s">
        <v>227</v>
      </c>
      <c r="F197" s="2" t="s">
        <v>171</v>
      </c>
      <c r="G197" s="2" t="s">
        <v>172</v>
      </c>
      <c r="H197" s="2" t="s">
        <v>173</v>
      </c>
      <c r="I197" s="2" t="s">
        <v>228</v>
      </c>
      <c r="J197" s="2" t="s">
        <v>27</v>
      </c>
      <c r="K197" s="2"/>
    </row>
    <row r="198" spans="1:11" ht="52.8" x14ac:dyDescent="0.3">
      <c r="A198" s="2" t="s">
        <v>226</v>
      </c>
      <c r="B198" s="2" t="s">
        <v>659</v>
      </c>
      <c r="C198" s="2" t="s">
        <v>660</v>
      </c>
      <c r="D198" s="2" t="str">
        <f>E198</f>
        <v>Outras afecções comprometendo o tegumento do feto e do recém-nascido</v>
      </c>
      <c r="E198" s="2" t="s">
        <v>227</v>
      </c>
      <c r="F198" s="2" t="s">
        <v>171</v>
      </c>
      <c r="G198" s="2" t="s">
        <v>172</v>
      </c>
      <c r="H198" s="2" t="s">
        <v>173</v>
      </c>
      <c r="I198" s="2" t="s">
        <v>228</v>
      </c>
      <c r="J198" s="2" t="s">
        <v>27</v>
      </c>
      <c r="K198" s="2"/>
    </row>
    <row r="199" spans="1:11" ht="26.4" x14ac:dyDescent="0.3">
      <c r="A199" s="2" t="s">
        <v>229</v>
      </c>
      <c r="B199" s="2" t="s">
        <v>661</v>
      </c>
      <c r="C199" s="2" t="s">
        <v>662</v>
      </c>
      <c r="D199" s="2" t="str">
        <f>C199</f>
        <v>Isquemia cerebral neonatal</v>
      </c>
      <c r="E199" s="2" t="s">
        <v>230</v>
      </c>
      <c r="F199" s="2" t="s">
        <v>171</v>
      </c>
      <c r="G199" s="2" t="s">
        <v>172</v>
      </c>
      <c r="H199" s="2" t="s">
        <v>173</v>
      </c>
      <c r="I199" s="2" t="s">
        <v>186</v>
      </c>
      <c r="J199" s="2" t="s">
        <v>27</v>
      </c>
      <c r="K199" s="2"/>
    </row>
    <row r="200" spans="1:11" ht="52.8" x14ac:dyDescent="0.3">
      <c r="A200" s="2" t="s">
        <v>229</v>
      </c>
      <c r="B200" s="2" t="s">
        <v>663</v>
      </c>
      <c r="C200" s="2" t="s">
        <v>664</v>
      </c>
      <c r="D200" s="2" t="str">
        <f>C200</f>
        <v>Cistos periventriculares adquiridos do recém-nascido</v>
      </c>
      <c r="E200" s="2" t="s">
        <v>230</v>
      </c>
      <c r="F200" s="2" t="s">
        <v>171</v>
      </c>
      <c r="G200" s="2" t="s">
        <v>172</v>
      </c>
      <c r="H200" s="2" t="s">
        <v>173</v>
      </c>
      <c r="I200" s="2" t="s">
        <v>186</v>
      </c>
      <c r="J200" s="2" t="s">
        <v>27</v>
      </c>
      <c r="K200" s="2"/>
    </row>
    <row r="201" spans="1:11" ht="26.4" x14ac:dyDescent="0.3">
      <c r="A201" s="2" t="s">
        <v>229</v>
      </c>
      <c r="B201" s="2" t="s">
        <v>665</v>
      </c>
      <c r="C201" s="2" t="s">
        <v>666</v>
      </c>
      <c r="D201" s="2" t="str">
        <f>C201</f>
        <v>Leucomalácia cerebral neonatal</v>
      </c>
      <c r="E201" s="2" t="s">
        <v>230</v>
      </c>
      <c r="F201" s="2" t="s">
        <v>171</v>
      </c>
      <c r="G201" s="2" t="s">
        <v>172</v>
      </c>
      <c r="H201" s="2" t="s">
        <v>173</v>
      </c>
      <c r="I201" s="2" t="s">
        <v>186</v>
      </c>
      <c r="J201" s="2" t="s">
        <v>27</v>
      </c>
      <c r="K201" s="2"/>
    </row>
    <row r="202" spans="1:11" ht="26.4" x14ac:dyDescent="0.3">
      <c r="A202" s="2" t="s">
        <v>229</v>
      </c>
      <c r="B202" s="2" t="s">
        <v>667</v>
      </c>
      <c r="C202" s="2" t="s">
        <v>668</v>
      </c>
      <c r="D202" s="2" t="str">
        <f>C202</f>
        <v>Irritabilidade cerebral neonatal</v>
      </c>
      <c r="E202" s="2" t="s">
        <v>230</v>
      </c>
      <c r="F202" s="2" t="s">
        <v>171</v>
      </c>
      <c r="G202" s="2" t="s">
        <v>172</v>
      </c>
      <c r="H202" s="2" t="s">
        <v>173</v>
      </c>
      <c r="I202" s="2" t="s">
        <v>186</v>
      </c>
      <c r="J202" s="2" t="s">
        <v>27</v>
      </c>
      <c r="K202" s="2"/>
    </row>
    <row r="203" spans="1:11" ht="26.4" x14ac:dyDescent="0.3">
      <c r="A203" s="2" t="s">
        <v>229</v>
      </c>
      <c r="B203" s="2" t="s">
        <v>669</v>
      </c>
      <c r="C203" s="2" t="s">
        <v>670</v>
      </c>
      <c r="D203" s="2" t="str">
        <f>C203</f>
        <v>Depressão cerebral neonatal</v>
      </c>
      <c r="E203" s="2" t="s">
        <v>230</v>
      </c>
      <c r="F203" s="2" t="s">
        <v>171</v>
      </c>
      <c r="G203" s="2" t="s">
        <v>172</v>
      </c>
      <c r="H203" s="2" t="s">
        <v>173</v>
      </c>
      <c r="I203" s="2" t="s">
        <v>186</v>
      </c>
      <c r="J203" s="2" t="s">
        <v>27</v>
      </c>
      <c r="K203" s="2"/>
    </row>
    <row r="204" spans="1:11" ht="26.4" x14ac:dyDescent="0.3">
      <c r="A204" s="2" t="s">
        <v>229</v>
      </c>
      <c r="B204" s="2" t="s">
        <v>671</v>
      </c>
      <c r="C204" s="2" t="s">
        <v>672</v>
      </c>
      <c r="D204" s="2" t="str">
        <f>C204</f>
        <v>Coma neonatal</v>
      </c>
      <c r="E204" s="2" t="s">
        <v>230</v>
      </c>
      <c r="F204" s="2" t="s">
        <v>171</v>
      </c>
      <c r="G204" s="2" t="s">
        <v>172</v>
      </c>
      <c r="H204" s="2" t="s">
        <v>173</v>
      </c>
      <c r="I204" s="2" t="s">
        <v>186</v>
      </c>
      <c r="J204" s="2" t="s">
        <v>27</v>
      </c>
      <c r="K204" s="2"/>
    </row>
    <row r="205" spans="1:11" ht="39.6" x14ac:dyDescent="0.3">
      <c r="A205" s="2" t="s">
        <v>229</v>
      </c>
      <c r="B205" s="2" t="s">
        <v>673</v>
      </c>
      <c r="C205" s="2" t="s">
        <v>674</v>
      </c>
      <c r="D205" s="2" t="str">
        <f>C205</f>
        <v>Encefalopatia hipóxico-isquêmica do recém-nascido</v>
      </c>
      <c r="E205" s="2" t="s">
        <v>230</v>
      </c>
      <c r="F205" s="2" t="s">
        <v>171</v>
      </c>
      <c r="G205" s="2" t="s">
        <v>172</v>
      </c>
      <c r="H205" s="2" t="s">
        <v>173</v>
      </c>
      <c r="I205" s="2" t="s">
        <v>186</v>
      </c>
      <c r="J205" s="2" t="s">
        <v>27</v>
      </c>
      <c r="K205" s="2"/>
    </row>
    <row r="206" spans="1:11" ht="39.6" x14ac:dyDescent="0.3">
      <c r="A206" s="2" t="s">
        <v>229</v>
      </c>
      <c r="B206" s="2" t="s">
        <v>675</v>
      </c>
      <c r="C206" s="2" t="s">
        <v>676</v>
      </c>
      <c r="D206" s="2" t="str">
        <f>E206</f>
        <v>Outros distúrbios da função cerebral do recém-nascido</v>
      </c>
      <c r="E206" s="2" t="s">
        <v>230</v>
      </c>
      <c r="F206" s="2" t="s">
        <v>171</v>
      </c>
      <c r="G206" s="2" t="s">
        <v>172</v>
      </c>
      <c r="H206" s="2" t="s">
        <v>173</v>
      </c>
      <c r="I206" s="2" t="s">
        <v>186</v>
      </c>
      <c r="J206" s="2" t="s">
        <v>27</v>
      </c>
      <c r="K206" s="2"/>
    </row>
    <row r="207" spans="1:11" ht="39.6" x14ac:dyDescent="0.3">
      <c r="A207" s="2" t="s">
        <v>229</v>
      </c>
      <c r="B207" s="2" t="s">
        <v>677</v>
      </c>
      <c r="C207" s="2" t="s">
        <v>678</v>
      </c>
      <c r="D207" s="2" t="str">
        <f>E207</f>
        <v>Outros distúrbios da função cerebral do recém-nascido</v>
      </c>
      <c r="E207" s="2" t="s">
        <v>230</v>
      </c>
      <c r="F207" s="2" t="s">
        <v>171</v>
      </c>
      <c r="G207" s="2" t="s">
        <v>172</v>
      </c>
      <c r="H207" s="2" t="s">
        <v>173</v>
      </c>
      <c r="I207" s="2" t="s">
        <v>186</v>
      </c>
      <c r="J207" s="2" t="s">
        <v>27</v>
      </c>
      <c r="K207" s="2"/>
    </row>
    <row r="208" spans="1:11" ht="39.6" x14ac:dyDescent="0.3">
      <c r="A208" s="2" t="s">
        <v>231</v>
      </c>
      <c r="B208" s="2" t="str">
        <f>A208</f>
        <v>P92</v>
      </c>
      <c r="C208" s="2" t="str">
        <f>E208</f>
        <v>Problemas de alimentação do recém-nascido</v>
      </c>
      <c r="D208" s="2" t="str">
        <f>E208</f>
        <v>Problemas de alimentação do recém-nascido</v>
      </c>
      <c r="E208" s="2" t="s">
        <v>232</v>
      </c>
      <c r="F208" s="2" t="s">
        <v>171</v>
      </c>
      <c r="G208" s="2" t="s">
        <v>172</v>
      </c>
      <c r="H208" s="2" t="s">
        <v>173</v>
      </c>
      <c r="I208" s="2" t="s">
        <v>228</v>
      </c>
      <c r="J208" s="2" t="s">
        <v>13</v>
      </c>
      <c r="K208" s="2"/>
    </row>
    <row r="209" spans="1:11" ht="39.6" x14ac:dyDescent="0.3">
      <c r="A209" s="2" t="s">
        <v>233</v>
      </c>
      <c r="B209" s="2" t="str">
        <f>A209</f>
        <v>P94</v>
      </c>
      <c r="C209" s="2" t="str">
        <f>E209</f>
        <v>Transtornos do tônus muscular do recém-nascido</v>
      </c>
      <c r="D209" s="2" t="str">
        <f>E209</f>
        <v>Transtornos do tônus muscular do recém-nascido</v>
      </c>
      <c r="E209" s="2" t="s">
        <v>234</v>
      </c>
      <c r="F209" s="2" t="s">
        <v>171</v>
      </c>
      <c r="G209" s="2" t="s">
        <v>172</v>
      </c>
      <c r="H209" s="2" t="s">
        <v>173</v>
      </c>
      <c r="I209" s="2" t="s">
        <v>228</v>
      </c>
      <c r="J209" s="2" t="s">
        <v>13</v>
      </c>
      <c r="K209" s="2"/>
    </row>
    <row r="210" spans="1:11" ht="26.4" x14ac:dyDescent="0.3">
      <c r="A210" s="2" t="s">
        <v>235</v>
      </c>
      <c r="B210" s="2" t="s">
        <v>679</v>
      </c>
      <c r="C210" s="2" t="s">
        <v>680</v>
      </c>
      <c r="D210" s="2" t="str">
        <f>C210</f>
        <v>Insuficiência renal congênita</v>
      </c>
      <c r="E210" s="2" t="s">
        <v>236</v>
      </c>
      <c r="F210" s="2" t="s">
        <v>171</v>
      </c>
      <c r="G210" s="2" t="s">
        <v>172</v>
      </c>
      <c r="H210" s="2" t="s">
        <v>173</v>
      </c>
      <c r="I210" s="2" t="s">
        <v>228</v>
      </c>
      <c r="J210" s="2" t="s">
        <v>27</v>
      </c>
      <c r="K210" s="2"/>
    </row>
    <row r="211" spans="1:11" ht="52.8" x14ac:dyDescent="0.3">
      <c r="A211" s="2" t="s">
        <v>235</v>
      </c>
      <c r="B211" s="2" t="s">
        <v>681</v>
      </c>
      <c r="C211" s="2" t="s">
        <v>682</v>
      </c>
      <c r="D211" s="2" t="str">
        <f>C211</f>
        <v>Sintomas de abstinência neonatal de drogas utilizadas pela mãe</v>
      </c>
      <c r="E211" s="2" t="s">
        <v>236</v>
      </c>
      <c r="F211" s="2" t="s">
        <v>171</v>
      </c>
      <c r="G211" s="2" t="s">
        <v>172</v>
      </c>
      <c r="H211" s="2" t="s">
        <v>173</v>
      </c>
      <c r="I211" s="2" t="s">
        <v>228</v>
      </c>
      <c r="J211" s="2" t="s">
        <v>27</v>
      </c>
      <c r="K211" s="2"/>
    </row>
    <row r="212" spans="1:11" ht="52.8" x14ac:dyDescent="0.3">
      <c r="A212" s="2" t="s">
        <v>235</v>
      </c>
      <c r="B212" s="2" t="s">
        <v>683</v>
      </c>
      <c r="C212" s="2" t="s">
        <v>684</v>
      </c>
      <c r="D212" s="2" t="str">
        <f>C212</f>
        <v>Sintomas de abstinência do uso de drogas terapêuticas no recém-nascido</v>
      </c>
      <c r="E212" s="2" t="s">
        <v>236</v>
      </c>
      <c r="F212" s="2" t="s">
        <v>171</v>
      </c>
      <c r="G212" s="2" t="s">
        <v>172</v>
      </c>
      <c r="H212" s="2" t="s">
        <v>173</v>
      </c>
      <c r="I212" s="2" t="s">
        <v>228</v>
      </c>
      <c r="J212" s="2" t="s">
        <v>27</v>
      </c>
      <c r="K212" s="2"/>
    </row>
    <row r="213" spans="1:11" ht="39.6" x14ac:dyDescent="0.3">
      <c r="A213" s="2" t="s">
        <v>235</v>
      </c>
      <c r="B213" s="2" t="s">
        <v>685</v>
      </c>
      <c r="C213" s="2" t="s">
        <v>686</v>
      </c>
      <c r="D213" s="2" t="str">
        <f>C213</f>
        <v>Suturas cranianas amplas no recém-nascido</v>
      </c>
      <c r="E213" s="2" t="s">
        <v>236</v>
      </c>
      <c r="F213" s="2" t="s">
        <v>171</v>
      </c>
      <c r="G213" s="2" t="s">
        <v>172</v>
      </c>
      <c r="H213" s="2" t="s">
        <v>173</v>
      </c>
      <c r="I213" s="2" t="s">
        <v>228</v>
      </c>
      <c r="J213" s="2" t="s">
        <v>27</v>
      </c>
      <c r="K213" s="2"/>
    </row>
    <row r="214" spans="1:11" ht="39.6" x14ac:dyDescent="0.3">
      <c r="A214" s="2" t="s">
        <v>235</v>
      </c>
      <c r="B214" s="2" t="s">
        <v>687</v>
      </c>
      <c r="C214" s="2" t="s">
        <v>688</v>
      </c>
      <c r="D214" s="2" t="str">
        <f>C214</f>
        <v>Interrupção de gravidez, afetando o feto e recém-nascido</v>
      </c>
      <c r="E214" s="2" t="s">
        <v>236</v>
      </c>
      <c r="F214" s="2" t="s">
        <v>171</v>
      </c>
      <c r="G214" s="2" t="s">
        <v>172</v>
      </c>
      <c r="H214" s="2" t="s">
        <v>173</v>
      </c>
      <c r="I214" s="2" t="s">
        <v>228</v>
      </c>
      <c r="J214" s="2" t="s">
        <v>27</v>
      </c>
      <c r="K214" s="2"/>
    </row>
    <row r="215" spans="1:11" ht="39.6" x14ac:dyDescent="0.3">
      <c r="A215" s="2" t="s">
        <v>235</v>
      </c>
      <c r="B215" s="2" t="s">
        <v>689</v>
      </c>
      <c r="C215" s="2" t="s">
        <v>690</v>
      </c>
      <c r="D215" s="2" t="str">
        <f>E215</f>
        <v>Outras afecções originadas no período perinatal</v>
      </c>
      <c r="E215" s="2" t="s">
        <v>236</v>
      </c>
      <c r="F215" s="2" t="s">
        <v>171</v>
      </c>
      <c r="G215" s="2" t="s">
        <v>172</v>
      </c>
      <c r="H215" s="2" t="s">
        <v>173</v>
      </c>
      <c r="I215" s="2" t="s">
        <v>228</v>
      </c>
      <c r="J215" s="2" t="s">
        <v>27</v>
      </c>
      <c r="K215" s="2"/>
    </row>
    <row r="216" spans="1:11" ht="39.6" x14ac:dyDescent="0.3">
      <c r="A216" s="2" t="s">
        <v>235</v>
      </c>
      <c r="B216" s="2" t="s">
        <v>691</v>
      </c>
      <c r="C216" s="2" t="s">
        <v>692</v>
      </c>
      <c r="D216" s="2" t="str">
        <f>E216</f>
        <v>Outras afecções originadas no período perinatal</v>
      </c>
      <c r="E216" s="2" t="s">
        <v>236</v>
      </c>
      <c r="F216" s="2" t="s">
        <v>171</v>
      </c>
      <c r="G216" s="2" t="s">
        <v>172</v>
      </c>
      <c r="H216" s="2" t="s">
        <v>173</v>
      </c>
      <c r="I216" s="2" t="s">
        <v>228</v>
      </c>
      <c r="J216" s="2" t="s">
        <v>27</v>
      </c>
      <c r="K216" s="2"/>
    </row>
    <row r="217" spans="1:11" ht="39.6" x14ac:dyDescent="0.3">
      <c r="A217" s="2" t="s">
        <v>235</v>
      </c>
      <c r="B217" s="2" t="s">
        <v>693</v>
      </c>
      <c r="C217" s="2" t="s">
        <v>694</v>
      </c>
      <c r="D217" s="2" t="str">
        <f>E217</f>
        <v>Outras afecções originadas no período perinatal</v>
      </c>
      <c r="E217" s="2" t="s">
        <v>236</v>
      </c>
      <c r="F217" s="2" t="s">
        <v>171</v>
      </c>
      <c r="G217" s="2" t="s">
        <v>172</v>
      </c>
      <c r="H217" s="2" t="s">
        <v>173</v>
      </c>
      <c r="I217" s="2" t="s">
        <v>228</v>
      </c>
      <c r="J217" s="2" t="s">
        <v>27</v>
      </c>
      <c r="K217" s="2"/>
    </row>
    <row r="218" spans="1:11" ht="39.6" x14ac:dyDescent="0.3">
      <c r="A218" s="2" t="s">
        <v>237</v>
      </c>
      <c r="B218" s="2" t="str">
        <f>A218</f>
        <v>Q00</v>
      </c>
      <c r="C218" s="2" t="str">
        <f>E218</f>
        <v>Anencefalia e malformações similares</v>
      </c>
      <c r="D218" s="2" t="str">
        <f>E218</f>
        <v>Anencefalia e malformações similares</v>
      </c>
      <c r="E218" s="2" t="s">
        <v>238</v>
      </c>
      <c r="F218" s="2" t="s">
        <v>239</v>
      </c>
      <c r="G218" s="2" t="s">
        <v>240</v>
      </c>
      <c r="H218" s="2" t="s">
        <v>241</v>
      </c>
      <c r="I218" s="2" t="s">
        <v>242</v>
      </c>
      <c r="J218" s="2" t="s">
        <v>13</v>
      </c>
      <c r="K218" s="2"/>
    </row>
    <row r="219" spans="1:11" ht="26.4" x14ac:dyDescent="0.3">
      <c r="A219" s="2" t="s">
        <v>243</v>
      </c>
      <c r="B219" s="2" t="str">
        <f t="shared" ref="B219:B220" si="6">A219</f>
        <v>Q02</v>
      </c>
      <c r="C219" s="2" t="str">
        <f t="shared" ref="C219:C220" si="7">E219</f>
        <v>Microcefalia</v>
      </c>
      <c r="D219" s="2" t="str">
        <f t="shared" ref="D219:D220" si="8">E219</f>
        <v>Microcefalia</v>
      </c>
      <c r="E219" s="2" t="s">
        <v>244</v>
      </c>
      <c r="F219" s="2" t="s">
        <v>239</v>
      </c>
      <c r="G219" s="2" t="s">
        <v>240</v>
      </c>
      <c r="H219" s="2" t="s">
        <v>241</v>
      </c>
      <c r="I219" s="2" t="s">
        <v>242</v>
      </c>
      <c r="J219" s="2" t="s">
        <v>13</v>
      </c>
      <c r="K219" s="2"/>
    </row>
    <row r="220" spans="1:11" ht="26.4" x14ac:dyDescent="0.3">
      <c r="A220" s="2" t="s">
        <v>245</v>
      </c>
      <c r="B220" s="2" t="str">
        <f t="shared" si="6"/>
        <v>Q03</v>
      </c>
      <c r="C220" s="2" t="str">
        <f t="shared" si="7"/>
        <v>Hidrocefalia congênita</v>
      </c>
      <c r="D220" s="2" t="str">
        <f t="shared" si="8"/>
        <v>Hidrocefalia congênita</v>
      </c>
      <c r="E220" s="2" t="s">
        <v>246</v>
      </c>
      <c r="F220" s="2" t="s">
        <v>239</v>
      </c>
      <c r="G220" s="2" t="s">
        <v>240</v>
      </c>
      <c r="H220" s="2" t="s">
        <v>241</v>
      </c>
      <c r="I220" s="2" t="s">
        <v>242</v>
      </c>
      <c r="J220" s="2" t="s">
        <v>13</v>
      </c>
      <c r="K220" s="2"/>
    </row>
    <row r="221" spans="1:11" ht="39.6" x14ac:dyDescent="0.3">
      <c r="A221" s="2" t="s">
        <v>247</v>
      </c>
      <c r="B221" s="2" t="s">
        <v>695</v>
      </c>
      <c r="C221" s="2" t="s">
        <v>696</v>
      </c>
      <c r="D221" s="2" t="str">
        <f>C221</f>
        <v>Malformações congênitas do corpo caloso</v>
      </c>
      <c r="E221" s="2" t="s">
        <v>248</v>
      </c>
      <c r="F221" s="2" t="s">
        <v>239</v>
      </c>
      <c r="G221" s="2" t="s">
        <v>240</v>
      </c>
      <c r="H221" s="2" t="s">
        <v>241</v>
      </c>
      <c r="I221" s="2" t="s">
        <v>242</v>
      </c>
      <c r="J221" s="2" t="s">
        <v>27</v>
      </c>
      <c r="K221" s="2"/>
    </row>
    <row r="222" spans="1:11" ht="26.4" x14ac:dyDescent="0.3">
      <c r="A222" s="2" t="s">
        <v>247</v>
      </c>
      <c r="B222" s="2" t="s">
        <v>697</v>
      </c>
      <c r="C222" s="2" t="s">
        <v>698</v>
      </c>
      <c r="D222" s="2" t="str">
        <f>C222</f>
        <v>Arrinencefalia</v>
      </c>
      <c r="E222" s="2" t="s">
        <v>248</v>
      </c>
      <c r="F222" s="2" t="s">
        <v>239</v>
      </c>
      <c r="G222" s="2" t="s">
        <v>240</v>
      </c>
      <c r="H222" s="2" t="s">
        <v>241</v>
      </c>
      <c r="I222" s="2" t="s">
        <v>242</v>
      </c>
      <c r="J222" s="2" t="s">
        <v>27</v>
      </c>
      <c r="K222" s="2"/>
    </row>
    <row r="223" spans="1:11" ht="26.4" x14ac:dyDescent="0.3">
      <c r="A223" s="2" t="s">
        <v>247</v>
      </c>
      <c r="B223" s="2" t="s">
        <v>699</v>
      </c>
      <c r="C223" s="2" t="s">
        <v>700</v>
      </c>
      <c r="D223" s="2" t="str">
        <f>C223</f>
        <v>Holoprosencefalia</v>
      </c>
      <c r="E223" s="2" t="s">
        <v>248</v>
      </c>
      <c r="F223" s="2" t="s">
        <v>239</v>
      </c>
      <c r="G223" s="2" t="s">
        <v>240</v>
      </c>
      <c r="H223" s="2" t="s">
        <v>241</v>
      </c>
      <c r="I223" s="2" t="s">
        <v>242</v>
      </c>
      <c r="J223" s="2" t="s">
        <v>27</v>
      </c>
      <c r="K223" s="2"/>
    </row>
    <row r="224" spans="1:11" ht="39.6" x14ac:dyDescent="0.3">
      <c r="A224" s="2" t="s">
        <v>247</v>
      </c>
      <c r="B224" s="2" t="s">
        <v>701</v>
      </c>
      <c r="C224" s="2" t="s">
        <v>702</v>
      </c>
      <c r="D224" s="2" t="str">
        <f>E224</f>
        <v>Outras malformações congênitas do cérebro</v>
      </c>
      <c r="E224" s="2" t="s">
        <v>248</v>
      </c>
      <c r="F224" s="2" t="s">
        <v>239</v>
      </c>
      <c r="G224" s="2" t="s">
        <v>240</v>
      </c>
      <c r="H224" s="2" t="s">
        <v>241</v>
      </c>
      <c r="I224" s="2" t="s">
        <v>242</v>
      </c>
      <c r="J224" s="2" t="s">
        <v>27</v>
      </c>
      <c r="K224" s="2"/>
    </row>
    <row r="225" spans="1:11" ht="26.4" x14ac:dyDescent="0.3">
      <c r="A225" s="2" t="s">
        <v>247</v>
      </c>
      <c r="B225" s="2" t="s">
        <v>703</v>
      </c>
      <c r="C225" s="2" t="s">
        <v>704</v>
      </c>
      <c r="D225" s="2" t="str">
        <f>C225</f>
        <v>Displasia do septo e das vias ópticas</v>
      </c>
      <c r="E225" s="2" t="s">
        <v>248</v>
      </c>
      <c r="F225" s="2" t="s">
        <v>239</v>
      </c>
      <c r="G225" s="2" t="s">
        <v>240</v>
      </c>
      <c r="H225" s="2" t="s">
        <v>241</v>
      </c>
      <c r="I225" s="2" t="s">
        <v>242</v>
      </c>
      <c r="J225" s="2" t="s">
        <v>27</v>
      </c>
      <c r="K225" s="2"/>
    </row>
    <row r="226" spans="1:11" ht="26.4" x14ac:dyDescent="0.3">
      <c r="A226" s="2" t="s">
        <v>247</v>
      </c>
      <c r="B226" s="2" t="s">
        <v>705</v>
      </c>
      <c r="C226" s="2" t="s">
        <v>706</v>
      </c>
      <c r="D226" s="2" t="str">
        <f>C226</f>
        <v>Megalencefalia</v>
      </c>
      <c r="E226" s="2" t="s">
        <v>248</v>
      </c>
      <c r="F226" s="2" t="s">
        <v>239</v>
      </c>
      <c r="G226" s="2" t="s">
        <v>240</v>
      </c>
      <c r="H226" s="2" t="s">
        <v>241</v>
      </c>
      <c r="I226" s="2" t="s">
        <v>242</v>
      </c>
      <c r="J226" s="2" t="s">
        <v>27</v>
      </c>
      <c r="K226" s="2"/>
    </row>
    <row r="227" spans="1:11" ht="26.4" x14ac:dyDescent="0.3">
      <c r="A227" s="2" t="s">
        <v>247</v>
      </c>
      <c r="B227" s="2" t="s">
        <v>707</v>
      </c>
      <c r="C227" s="2" t="s">
        <v>708</v>
      </c>
      <c r="D227" s="2" t="str">
        <f>C227</f>
        <v>Cistos cerebrais congênitos</v>
      </c>
      <c r="E227" s="2" t="s">
        <v>248</v>
      </c>
      <c r="F227" s="2" t="s">
        <v>239</v>
      </c>
      <c r="G227" s="2" t="s">
        <v>240</v>
      </c>
      <c r="H227" s="2" t="s">
        <v>241</v>
      </c>
      <c r="I227" s="2" t="s">
        <v>242</v>
      </c>
      <c r="J227" s="2" t="s">
        <v>27</v>
      </c>
      <c r="K227" s="2"/>
    </row>
    <row r="228" spans="1:11" ht="39.6" x14ac:dyDescent="0.3">
      <c r="A228" s="2" t="s">
        <v>247</v>
      </c>
      <c r="B228" s="2" t="s">
        <v>709</v>
      </c>
      <c r="C228" s="2" t="s">
        <v>710</v>
      </c>
      <c r="D228" s="2" t="str">
        <f>E228</f>
        <v>Outras malformações congênitas do cérebro</v>
      </c>
      <c r="E228" s="2" t="s">
        <v>248</v>
      </c>
      <c r="F228" s="2" t="s">
        <v>239</v>
      </c>
      <c r="G228" s="2" t="s">
        <v>240</v>
      </c>
      <c r="H228" s="2" t="s">
        <v>241</v>
      </c>
      <c r="I228" s="2" t="s">
        <v>242</v>
      </c>
      <c r="J228" s="2" t="s">
        <v>27</v>
      </c>
      <c r="K228" s="2"/>
    </row>
    <row r="229" spans="1:11" ht="39.6" x14ac:dyDescent="0.3">
      <c r="A229" s="2" t="s">
        <v>247</v>
      </c>
      <c r="B229" s="2" t="s">
        <v>711</v>
      </c>
      <c r="C229" s="2" t="s">
        <v>712</v>
      </c>
      <c r="D229" s="2" t="str">
        <f>E229</f>
        <v>Outras malformações congênitas do cérebro</v>
      </c>
      <c r="E229" s="2" t="s">
        <v>248</v>
      </c>
      <c r="F229" s="2" t="s">
        <v>239</v>
      </c>
      <c r="G229" s="2" t="s">
        <v>240</v>
      </c>
      <c r="H229" s="2" t="s">
        <v>241</v>
      </c>
      <c r="I229" s="2" t="s">
        <v>242</v>
      </c>
      <c r="J229" s="2" t="s">
        <v>27</v>
      </c>
      <c r="K229" s="2"/>
    </row>
    <row r="230" spans="1:11" ht="26.4" x14ac:dyDescent="0.3">
      <c r="A230" s="2" t="s">
        <v>249</v>
      </c>
      <c r="B230" s="2" t="str">
        <f>A230</f>
        <v>Q05</v>
      </c>
      <c r="C230" s="2" t="str">
        <f>E230</f>
        <v>Espinha bífida</v>
      </c>
      <c r="D230" s="2" t="str">
        <f>E230</f>
        <v>Espinha bífida</v>
      </c>
      <c r="E230" s="2" t="s">
        <v>250</v>
      </c>
      <c r="F230" s="2" t="s">
        <v>239</v>
      </c>
      <c r="G230" s="2" t="s">
        <v>240</v>
      </c>
      <c r="H230" s="2" t="s">
        <v>241</v>
      </c>
      <c r="I230" s="2" t="s">
        <v>242</v>
      </c>
      <c r="J230" s="2" t="s">
        <v>13</v>
      </c>
      <c r="K230" s="2"/>
    </row>
    <row r="231" spans="1:11" ht="26.4" x14ac:dyDescent="0.3">
      <c r="A231" s="2" t="s">
        <v>251</v>
      </c>
      <c r="B231" s="2" t="s">
        <v>713</v>
      </c>
      <c r="C231" s="2" t="s">
        <v>714</v>
      </c>
      <c r="D231" s="2" t="str">
        <f>C231</f>
        <v>Seio, fístula e cisto de origem branquial</v>
      </c>
      <c r="E231" s="2" t="s">
        <v>252</v>
      </c>
      <c r="F231" s="2" t="s">
        <v>239</v>
      </c>
      <c r="G231" s="2" t="s">
        <v>240</v>
      </c>
      <c r="H231" s="2" t="s">
        <v>241</v>
      </c>
      <c r="I231" s="2" t="s">
        <v>253</v>
      </c>
      <c r="J231" s="2" t="s">
        <v>27</v>
      </c>
      <c r="K231" s="2"/>
    </row>
    <row r="232" spans="1:11" ht="26.4" x14ac:dyDescent="0.3">
      <c r="A232" s="2" t="s">
        <v>251</v>
      </c>
      <c r="B232" s="2" t="s">
        <v>715</v>
      </c>
      <c r="C232" s="2" t="s">
        <v>716</v>
      </c>
      <c r="D232" s="2" t="str">
        <f>C232</f>
        <v>Seio, fístula e cisto pré-auricular</v>
      </c>
      <c r="E232" s="2" t="s">
        <v>252</v>
      </c>
      <c r="F232" s="2" t="s">
        <v>239</v>
      </c>
      <c r="G232" s="2" t="s">
        <v>240</v>
      </c>
      <c r="H232" s="2" t="s">
        <v>241</v>
      </c>
      <c r="I232" s="2" t="s">
        <v>253</v>
      </c>
      <c r="J232" s="2" t="s">
        <v>27</v>
      </c>
      <c r="K232" s="2"/>
    </row>
    <row r="233" spans="1:11" ht="39.6" x14ac:dyDescent="0.3">
      <c r="A233" s="2" t="s">
        <v>251</v>
      </c>
      <c r="B233" s="2" t="s">
        <v>717</v>
      </c>
      <c r="C233" s="2" t="s">
        <v>718</v>
      </c>
      <c r="D233" s="2" t="str">
        <f>E233</f>
        <v>Outras malformações congênitas da face e do pescoço</v>
      </c>
      <c r="E233" s="2" t="s">
        <v>252</v>
      </c>
      <c r="F233" s="2" t="s">
        <v>239</v>
      </c>
      <c r="G233" s="2" t="s">
        <v>240</v>
      </c>
      <c r="H233" s="2" t="s">
        <v>241</v>
      </c>
      <c r="I233" s="2" t="s">
        <v>253</v>
      </c>
      <c r="J233" s="2" t="s">
        <v>27</v>
      </c>
      <c r="K233" s="2"/>
    </row>
    <row r="234" spans="1:11" ht="26.4" x14ac:dyDescent="0.3">
      <c r="A234" s="2" t="s">
        <v>251</v>
      </c>
      <c r="B234" s="2" t="s">
        <v>719</v>
      </c>
      <c r="C234" s="2" t="s">
        <v>720</v>
      </c>
      <c r="D234" s="2" t="str">
        <f>C234</f>
        <v>Pescoço alado</v>
      </c>
      <c r="E234" s="2" t="s">
        <v>252</v>
      </c>
      <c r="F234" s="2" t="s">
        <v>239</v>
      </c>
      <c r="G234" s="2" t="s">
        <v>240</v>
      </c>
      <c r="H234" s="2" t="s">
        <v>241</v>
      </c>
      <c r="I234" s="2" t="s">
        <v>253</v>
      </c>
      <c r="J234" s="2" t="s">
        <v>27</v>
      </c>
      <c r="K234" s="2"/>
    </row>
    <row r="235" spans="1:11" ht="26.4" x14ac:dyDescent="0.3">
      <c r="A235" s="2" t="s">
        <v>251</v>
      </c>
      <c r="B235" s="2" t="s">
        <v>721</v>
      </c>
      <c r="C235" s="2" t="s">
        <v>722</v>
      </c>
      <c r="D235" s="2" t="str">
        <f>C235</f>
        <v>Macrostomia</v>
      </c>
      <c r="E235" s="2" t="s">
        <v>252</v>
      </c>
      <c r="F235" s="2" t="s">
        <v>239</v>
      </c>
      <c r="G235" s="2" t="s">
        <v>240</v>
      </c>
      <c r="H235" s="2" t="s">
        <v>241</v>
      </c>
      <c r="I235" s="2" t="s">
        <v>253</v>
      </c>
      <c r="J235" s="2" t="s">
        <v>27</v>
      </c>
      <c r="K235" s="2"/>
    </row>
    <row r="236" spans="1:11" ht="26.4" x14ac:dyDescent="0.3">
      <c r="A236" s="2" t="s">
        <v>251</v>
      </c>
      <c r="B236" s="2" t="s">
        <v>723</v>
      </c>
      <c r="C236" s="2" t="s">
        <v>724</v>
      </c>
      <c r="D236" s="2" t="str">
        <f>C236</f>
        <v>Microstomia</v>
      </c>
      <c r="E236" s="2" t="s">
        <v>252</v>
      </c>
      <c r="F236" s="2" t="s">
        <v>239</v>
      </c>
      <c r="G236" s="2" t="s">
        <v>240</v>
      </c>
      <c r="H236" s="2" t="s">
        <v>241</v>
      </c>
      <c r="I236" s="2" t="s">
        <v>253</v>
      </c>
      <c r="J236" s="2" t="s">
        <v>27</v>
      </c>
      <c r="K236" s="2"/>
    </row>
    <row r="237" spans="1:11" ht="26.4" x14ac:dyDescent="0.3">
      <c r="A237" s="2" t="s">
        <v>251</v>
      </c>
      <c r="B237" s="2" t="s">
        <v>725</v>
      </c>
      <c r="C237" s="2" t="s">
        <v>726</v>
      </c>
      <c r="D237" s="2" t="str">
        <f>C237</f>
        <v>Macroqueilia</v>
      </c>
      <c r="E237" s="2" t="s">
        <v>252</v>
      </c>
      <c r="F237" s="2" t="s">
        <v>239</v>
      </c>
      <c r="G237" s="2" t="s">
        <v>240</v>
      </c>
      <c r="H237" s="2" t="s">
        <v>241</v>
      </c>
      <c r="I237" s="2" t="s">
        <v>253</v>
      </c>
      <c r="J237" s="2" t="s">
        <v>27</v>
      </c>
      <c r="K237" s="2"/>
    </row>
    <row r="238" spans="1:11" ht="26.4" x14ac:dyDescent="0.3">
      <c r="A238" s="2" t="s">
        <v>251</v>
      </c>
      <c r="B238" s="2" t="s">
        <v>727</v>
      </c>
      <c r="C238" s="2" t="s">
        <v>728</v>
      </c>
      <c r="D238" s="2" t="str">
        <f>C238</f>
        <v>Microqueilia</v>
      </c>
      <c r="E238" s="2" t="s">
        <v>252</v>
      </c>
      <c r="F238" s="2" t="s">
        <v>239</v>
      </c>
      <c r="G238" s="2" t="s">
        <v>240</v>
      </c>
      <c r="H238" s="2" t="s">
        <v>241</v>
      </c>
      <c r="I238" s="2" t="s">
        <v>253</v>
      </c>
      <c r="J238" s="2" t="s">
        <v>27</v>
      </c>
      <c r="K238" s="2"/>
    </row>
    <row r="239" spans="1:11" ht="39.6" x14ac:dyDescent="0.3">
      <c r="A239" s="2" t="s">
        <v>251</v>
      </c>
      <c r="B239" s="2" t="s">
        <v>729</v>
      </c>
      <c r="C239" s="2" t="s">
        <v>730</v>
      </c>
      <c r="D239" s="2" t="str">
        <f>E239</f>
        <v>Outras malformações congênitas da face e do pescoço</v>
      </c>
      <c r="E239" s="2" t="s">
        <v>252</v>
      </c>
      <c r="F239" s="2" t="s">
        <v>239</v>
      </c>
      <c r="G239" s="2" t="s">
        <v>240</v>
      </c>
      <c r="H239" s="2" t="s">
        <v>241</v>
      </c>
      <c r="I239" s="2" t="s">
        <v>253</v>
      </c>
      <c r="J239" s="2" t="s">
        <v>27</v>
      </c>
      <c r="K239" s="2"/>
    </row>
    <row r="240" spans="1:11" ht="39.6" x14ac:dyDescent="0.3">
      <c r="A240" s="2" t="s">
        <v>251</v>
      </c>
      <c r="B240" s="2" t="s">
        <v>731</v>
      </c>
      <c r="C240" s="2" t="s">
        <v>732</v>
      </c>
      <c r="D240" s="2" t="str">
        <f>E240</f>
        <v>Outras malformações congênitas da face e do pescoço</v>
      </c>
      <c r="E240" s="2" t="s">
        <v>252</v>
      </c>
      <c r="F240" s="2" t="s">
        <v>239</v>
      </c>
      <c r="G240" s="2" t="s">
        <v>240</v>
      </c>
      <c r="H240" s="2" t="s">
        <v>241</v>
      </c>
      <c r="I240" s="2" t="s">
        <v>253</v>
      </c>
      <c r="J240" s="2" t="s">
        <v>27</v>
      </c>
      <c r="K240" s="2"/>
    </row>
    <row r="241" spans="1:11" ht="66" x14ac:dyDescent="0.3">
      <c r="A241" s="2" t="s">
        <v>254</v>
      </c>
      <c r="B241" s="4" t="str">
        <f>A241</f>
        <v>Q20</v>
      </c>
      <c r="C241" s="4" t="str">
        <f>E241</f>
        <v>Malformações congênitas das câmaras e das comunicações cardíacas</v>
      </c>
      <c r="D241" s="2" t="str">
        <f>E241</f>
        <v>Malformações congênitas das câmaras e das comunicações cardíacas</v>
      </c>
      <c r="E241" s="2" t="s">
        <v>255</v>
      </c>
      <c r="F241" s="2" t="s">
        <v>239</v>
      </c>
      <c r="G241" s="2" t="s">
        <v>240</v>
      </c>
      <c r="H241" s="2" t="s">
        <v>241</v>
      </c>
      <c r="I241" s="2" t="s">
        <v>256</v>
      </c>
      <c r="J241" s="2" t="s">
        <v>13</v>
      </c>
      <c r="K241" s="2"/>
    </row>
    <row r="242" spans="1:11" ht="39.6" x14ac:dyDescent="0.3">
      <c r="A242" s="2" t="s">
        <v>257</v>
      </c>
      <c r="B242" s="4" t="str">
        <f t="shared" ref="B242:B244" si="9">A242</f>
        <v>Q21</v>
      </c>
      <c r="C242" s="4" t="str">
        <f t="shared" ref="C242:C244" si="10">E242</f>
        <v>Malformações congênitas dos septos cardíacos</v>
      </c>
      <c r="D242" s="2" t="str">
        <f t="shared" ref="D242:D244" si="11">E242</f>
        <v>Malformações congênitas dos septos cardíacos</v>
      </c>
      <c r="E242" s="2" t="s">
        <v>258</v>
      </c>
      <c r="F242" s="2" t="s">
        <v>239</v>
      </c>
      <c r="G242" s="2" t="s">
        <v>240</v>
      </c>
      <c r="H242" s="2" t="s">
        <v>241</v>
      </c>
      <c r="I242" s="2" t="s">
        <v>256</v>
      </c>
      <c r="J242" s="2" t="s">
        <v>13</v>
      </c>
      <c r="K242" s="2"/>
    </row>
    <row r="243" spans="1:11" ht="39.6" x14ac:dyDescent="0.3">
      <c r="A243" s="2" t="s">
        <v>259</v>
      </c>
      <c r="B243" s="4" t="str">
        <f t="shared" si="9"/>
        <v>Q22</v>
      </c>
      <c r="C243" s="4" t="str">
        <f t="shared" si="10"/>
        <v>Malformações congênitas das valvas pulmonar e tricúspide</v>
      </c>
      <c r="D243" s="2" t="str">
        <f t="shared" si="11"/>
        <v>Malformações congênitas das valvas pulmonar e tricúspide</v>
      </c>
      <c r="E243" s="2" t="s">
        <v>260</v>
      </c>
      <c r="F243" s="2" t="s">
        <v>239</v>
      </c>
      <c r="G243" s="2" t="s">
        <v>240</v>
      </c>
      <c r="H243" s="2" t="s">
        <v>241</v>
      </c>
      <c r="I243" s="2" t="s">
        <v>256</v>
      </c>
      <c r="J243" s="2" t="s">
        <v>13</v>
      </c>
      <c r="K243" s="2"/>
    </row>
    <row r="244" spans="1:11" ht="39.6" x14ac:dyDescent="0.3">
      <c r="A244" s="2" t="s">
        <v>261</v>
      </c>
      <c r="B244" s="4" t="str">
        <f t="shared" si="9"/>
        <v>Q23</v>
      </c>
      <c r="C244" s="4" t="str">
        <f t="shared" si="10"/>
        <v>Malformações congênitas das valvas aórtica e mitral</v>
      </c>
      <c r="D244" s="2" t="str">
        <f t="shared" si="11"/>
        <v>Malformações congênitas das valvas aórtica e mitral</v>
      </c>
      <c r="E244" s="2" t="s">
        <v>262</v>
      </c>
      <c r="F244" s="2" t="s">
        <v>239</v>
      </c>
      <c r="G244" s="2" t="s">
        <v>240</v>
      </c>
      <c r="H244" s="2" t="s">
        <v>241</v>
      </c>
      <c r="I244" s="2" t="s">
        <v>256</v>
      </c>
      <c r="J244" s="2" t="s">
        <v>13</v>
      </c>
      <c r="K244" s="2"/>
    </row>
    <row r="245" spans="1:11" ht="26.4" x14ac:dyDescent="0.3">
      <c r="A245" s="2" t="s">
        <v>263</v>
      </c>
      <c r="B245" s="4" t="s">
        <v>733</v>
      </c>
      <c r="C245" s="4" t="s">
        <v>734</v>
      </c>
      <c r="D245" s="2" t="str">
        <f>C245</f>
        <v>Dextrocardia</v>
      </c>
      <c r="E245" s="2" t="s">
        <v>264</v>
      </c>
      <c r="F245" s="2" t="s">
        <v>239</v>
      </c>
      <c r="G245" s="2" t="s">
        <v>240</v>
      </c>
      <c r="H245" s="2" t="s">
        <v>241</v>
      </c>
      <c r="I245" s="2" t="s">
        <v>256</v>
      </c>
      <c r="J245" s="2" t="s">
        <v>27</v>
      </c>
      <c r="K245" s="2" t="s">
        <v>265</v>
      </c>
    </row>
    <row r="246" spans="1:11" ht="26.4" x14ac:dyDescent="0.3">
      <c r="A246" s="2" t="s">
        <v>263</v>
      </c>
      <c r="B246" s="4" t="s">
        <v>735</v>
      </c>
      <c r="C246" s="4" t="s">
        <v>736</v>
      </c>
      <c r="D246" s="2" t="str">
        <f t="shared" ref="D246:D251" si="12">C246</f>
        <v>Levocardia</v>
      </c>
      <c r="E246" s="2" t="s">
        <v>264</v>
      </c>
      <c r="F246" s="2" t="s">
        <v>239</v>
      </c>
      <c r="G246" s="2" t="s">
        <v>240</v>
      </c>
      <c r="H246" s="2" t="s">
        <v>241</v>
      </c>
      <c r="I246" s="2" t="s">
        <v>256</v>
      </c>
      <c r="J246" s="2" t="s">
        <v>27</v>
      </c>
      <c r="K246" s="2"/>
    </row>
    <row r="247" spans="1:11" ht="26.4" x14ac:dyDescent="0.3">
      <c r="A247" s="2" t="s">
        <v>263</v>
      </c>
      <c r="B247" s="4" t="s">
        <v>737</v>
      </c>
      <c r="C247" s="4" t="s">
        <v>738</v>
      </c>
      <c r="D247" s="2" t="str">
        <f t="shared" si="12"/>
        <v>Cor triatriatum</v>
      </c>
      <c r="E247" s="2" t="s">
        <v>264</v>
      </c>
      <c r="F247" s="2" t="s">
        <v>239</v>
      </c>
      <c r="G247" s="2" t="s">
        <v>240</v>
      </c>
      <c r="H247" s="2" t="s">
        <v>241</v>
      </c>
      <c r="I247" s="2" t="s">
        <v>256</v>
      </c>
      <c r="J247" s="2" t="s">
        <v>27</v>
      </c>
      <c r="K247" s="2"/>
    </row>
    <row r="248" spans="1:11" ht="26.4" x14ac:dyDescent="0.3">
      <c r="A248" s="2" t="s">
        <v>263</v>
      </c>
      <c r="B248" s="4" t="s">
        <v>739</v>
      </c>
      <c r="C248" s="4" t="s">
        <v>740</v>
      </c>
      <c r="D248" s="2" t="str">
        <f t="shared" si="12"/>
        <v>Estenose do infundíbulo pulmonar</v>
      </c>
      <c r="E248" s="2" t="s">
        <v>264</v>
      </c>
      <c r="F248" s="2" t="s">
        <v>239</v>
      </c>
      <c r="G248" s="2" t="s">
        <v>240</v>
      </c>
      <c r="H248" s="2" t="s">
        <v>241</v>
      </c>
      <c r="I248" s="2" t="s">
        <v>256</v>
      </c>
      <c r="J248" s="2" t="s">
        <v>27</v>
      </c>
      <c r="K248" s="2"/>
    </row>
    <row r="249" spans="1:11" ht="26.4" x14ac:dyDescent="0.3">
      <c r="A249" s="2" t="s">
        <v>263</v>
      </c>
      <c r="B249" s="4" t="s">
        <v>741</v>
      </c>
      <c r="C249" s="4" t="s">
        <v>742</v>
      </c>
      <c r="D249" s="2" t="str">
        <f t="shared" si="12"/>
        <v>Estenose subaórtica congênita</v>
      </c>
      <c r="E249" s="2" t="s">
        <v>264</v>
      </c>
      <c r="F249" s="2" t="s">
        <v>239</v>
      </c>
      <c r="G249" s="2" t="s">
        <v>240</v>
      </c>
      <c r="H249" s="2" t="s">
        <v>241</v>
      </c>
      <c r="I249" s="2" t="s">
        <v>256</v>
      </c>
      <c r="J249" s="2" t="s">
        <v>27</v>
      </c>
      <c r="K249" s="2"/>
    </row>
    <row r="250" spans="1:11" ht="26.4" x14ac:dyDescent="0.3">
      <c r="A250" s="2" t="s">
        <v>263</v>
      </c>
      <c r="B250" s="4" t="s">
        <v>743</v>
      </c>
      <c r="C250" s="4" t="s">
        <v>744</v>
      </c>
      <c r="D250" s="2" t="str">
        <f t="shared" si="12"/>
        <v>Malformações dos vasos coronários</v>
      </c>
      <c r="E250" s="2" t="s">
        <v>264</v>
      </c>
      <c r="F250" s="2" t="s">
        <v>239</v>
      </c>
      <c r="G250" s="2" t="s">
        <v>240</v>
      </c>
      <c r="H250" s="2" t="s">
        <v>241</v>
      </c>
      <c r="I250" s="2" t="s">
        <v>256</v>
      </c>
      <c r="J250" s="2" t="s">
        <v>27</v>
      </c>
      <c r="K250" s="2"/>
    </row>
    <row r="251" spans="1:11" ht="26.4" x14ac:dyDescent="0.3">
      <c r="A251" s="2" t="s">
        <v>263</v>
      </c>
      <c r="B251" s="4" t="s">
        <v>745</v>
      </c>
      <c r="C251" s="4" t="s">
        <v>746</v>
      </c>
      <c r="D251" s="2" t="str">
        <f t="shared" si="12"/>
        <v>Bloqueio congênito do coração</v>
      </c>
      <c r="E251" s="2" t="s">
        <v>264</v>
      </c>
      <c r="F251" s="2" t="s">
        <v>239</v>
      </c>
      <c r="G251" s="2" t="s">
        <v>240</v>
      </c>
      <c r="H251" s="2" t="s">
        <v>241</v>
      </c>
      <c r="I251" s="2" t="s">
        <v>256</v>
      </c>
      <c r="J251" s="2" t="s">
        <v>27</v>
      </c>
      <c r="K251" s="2"/>
    </row>
    <row r="252" spans="1:11" ht="39.6" x14ac:dyDescent="0.3">
      <c r="A252" s="2" t="s">
        <v>263</v>
      </c>
      <c r="B252" s="4" t="s">
        <v>747</v>
      </c>
      <c r="C252" s="4" t="s">
        <v>748</v>
      </c>
      <c r="D252" s="2" t="str">
        <f>E252</f>
        <v>Outras malformações congênitas do coração</v>
      </c>
      <c r="E252" s="2" t="s">
        <v>264</v>
      </c>
      <c r="F252" s="2" t="s">
        <v>239</v>
      </c>
      <c r="G252" s="2" t="s">
        <v>240</v>
      </c>
      <c r="H252" s="2" t="s">
        <v>241</v>
      </c>
      <c r="I252" s="2" t="s">
        <v>256</v>
      </c>
      <c r="J252" s="2" t="s">
        <v>27</v>
      </c>
      <c r="K252" s="2"/>
    </row>
    <row r="253" spans="1:11" ht="39.6" x14ac:dyDescent="0.3">
      <c r="A253" s="2" t="s">
        <v>263</v>
      </c>
      <c r="B253" s="4" t="s">
        <v>749</v>
      </c>
      <c r="C253" s="4" t="s">
        <v>750</v>
      </c>
      <c r="D253" s="2" t="str">
        <f>E253</f>
        <v>Outras malformações congênitas do coração</v>
      </c>
      <c r="E253" s="2" t="s">
        <v>264</v>
      </c>
      <c r="F253" s="2" t="s">
        <v>239</v>
      </c>
      <c r="G253" s="2" t="s">
        <v>240</v>
      </c>
      <c r="H253" s="2" t="s">
        <v>241</v>
      </c>
      <c r="I253" s="2" t="s">
        <v>256</v>
      </c>
      <c r="J253" s="2" t="s">
        <v>27</v>
      </c>
      <c r="K253" s="2"/>
    </row>
    <row r="254" spans="1:11" ht="39.6" x14ac:dyDescent="0.3">
      <c r="A254" s="2" t="s">
        <v>266</v>
      </c>
      <c r="B254" s="2" t="str">
        <f>A254</f>
        <v>Q25</v>
      </c>
      <c r="C254" s="2" t="str">
        <f>E254</f>
        <v>Malformações congênitas das grandes artérias</v>
      </c>
      <c r="D254" s="2" t="str">
        <f>E254</f>
        <v>Malformações congênitas das grandes artérias</v>
      </c>
      <c r="E254" s="2" t="s">
        <v>267</v>
      </c>
      <c r="F254" s="2" t="s">
        <v>239</v>
      </c>
      <c r="G254" s="2" t="s">
        <v>240</v>
      </c>
      <c r="H254" s="2" t="s">
        <v>241</v>
      </c>
      <c r="I254" s="2" t="s">
        <v>256</v>
      </c>
      <c r="J254" s="2" t="s">
        <v>13</v>
      </c>
      <c r="K254" s="2"/>
    </row>
    <row r="255" spans="1:11" ht="26.4" x14ac:dyDescent="0.3">
      <c r="A255" s="2" t="s">
        <v>268</v>
      </c>
      <c r="B255" s="2" t="str">
        <f t="shared" ref="B255:B268" si="13">A255</f>
        <v>Q33</v>
      </c>
      <c r="C255" s="2" t="str">
        <f t="shared" ref="C255:C268" si="14">E255</f>
        <v>Malformações congênitas do pulmão</v>
      </c>
      <c r="D255" s="2" t="str">
        <f t="shared" ref="D255:D268" si="15">E255</f>
        <v>Malformações congênitas do pulmão</v>
      </c>
      <c r="E255" s="2" t="s">
        <v>269</v>
      </c>
      <c r="F255" s="2" t="s">
        <v>239</v>
      </c>
      <c r="G255" s="2" t="s">
        <v>240</v>
      </c>
      <c r="H255" s="2" t="s">
        <v>241</v>
      </c>
      <c r="I255" s="2" t="s">
        <v>270</v>
      </c>
      <c r="J255" s="2" t="s">
        <v>13</v>
      </c>
      <c r="K255" s="2"/>
    </row>
    <row r="256" spans="1:11" ht="26.4" x14ac:dyDescent="0.3">
      <c r="A256" s="2" t="s">
        <v>271</v>
      </c>
      <c r="B256" s="2" t="str">
        <f t="shared" si="13"/>
        <v>Q35</v>
      </c>
      <c r="C256" s="2" t="str">
        <f t="shared" si="14"/>
        <v>Fenda palatina</v>
      </c>
      <c r="D256" s="2" t="str">
        <f t="shared" si="15"/>
        <v>Fenda palatina</v>
      </c>
      <c r="E256" s="2" t="s">
        <v>272</v>
      </c>
      <c r="F256" s="2" t="s">
        <v>239</v>
      </c>
      <c r="G256" s="2" t="s">
        <v>240</v>
      </c>
      <c r="H256" s="2" t="s">
        <v>241</v>
      </c>
      <c r="I256" s="2" t="s">
        <v>273</v>
      </c>
      <c r="J256" s="2" t="s">
        <v>13</v>
      </c>
      <c r="K256" s="2"/>
    </row>
    <row r="257" spans="1:11" ht="26.4" x14ac:dyDescent="0.3">
      <c r="A257" s="2" t="s">
        <v>274</v>
      </c>
      <c r="B257" s="2" t="str">
        <f t="shared" si="13"/>
        <v>Q36</v>
      </c>
      <c r="C257" s="2" t="str">
        <f t="shared" si="14"/>
        <v>Fenda labial</v>
      </c>
      <c r="D257" s="2" t="str">
        <f t="shared" si="15"/>
        <v>Fenda labial</v>
      </c>
      <c r="E257" s="2" t="s">
        <v>275</v>
      </c>
      <c r="F257" s="2" t="s">
        <v>239</v>
      </c>
      <c r="G257" s="2" t="s">
        <v>240</v>
      </c>
      <c r="H257" s="2" t="s">
        <v>241</v>
      </c>
      <c r="I257" s="2" t="s">
        <v>273</v>
      </c>
      <c r="J257" s="2" t="s">
        <v>13</v>
      </c>
      <c r="K257" s="2"/>
    </row>
    <row r="258" spans="1:11" ht="26.4" x14ac:dyDescent="0.3">
      <c r="A258" s="2" t="s">
        <v>276</v>
      </c>
      <c r="B258" s="2" t="str">
        <f t="shared" si="13"/>
        <v>Q37</v>
      </c>
      <c r="C258" s="2" t="str">
        <f t="shared" si="14"/>
        <v>Fenda labial com fenda palatina</v>
      </c>
      <c r="D258" s="2" t="str">
        <f t="shared" si="15"/>
        <v>Fenda labial com fenda palatina</v>
      </c>
      <c r="E258" s="2" t="s">
        <v>277</v>
      </c>
      <c r="F258" s="2" t="s">
        <v>239</v>
      </c>
      <c r="G258" s="2" t="s">
        <v>240</v>
      </c>
      <c r="H258" s="2" t="s">
        <v>241</v>
      </c>
      <c r="I258" s="2" t="s">
        <v>273</v>
      </c>
      <c r="J258" s="2" t="s">
        <v>13</v>
      </c>
      <c r="K258" s="2"/>
    </row>
    <row r="259" spans="1:11" ht="52.8" x14ac:dyDescent="0.3">
      <c r="A259" s="2" t="s">
        <v>278</v>
      </c>
      <c r="B259" s="2" t="s">
        <v>751</v>
      </c>
      <c r="C259" s="2" t="s">
        <v>752</v>
      </c>
      <c r="D259" s="2" t="str">
        <f>C259</f>
        <v>Malformações congênitas dos lábios, não classificadas em outra parte</v>
      </c>
      <c r="E259" s="2" t="s">
        <v>279</v>
      </c>
      <c r="F259" s="2" t="s">
        <v>239</v>
      </c>
      <c r="G259" s="2" t="s">
        <v>240</v>
      </c>
      <c r="H259" s="2" t="s">
        <v>241</v>
      </c>
      <c r="I259" s="2" t="s">
        <v>280</v>
      </c>
      <c r="J259" s="2" t="s">
        <v>27</v>
      </c>
      <c r="K259" s="2"/>
    </row>
    <row r="260" spans="1:11" ht="26.4" x14ac:dyDescent="0.3">
      <c r="A260" s="2" t="s">
        <v>278</v>
      </c>
      <c r="B260" s="2" t="s">
        <v>753</v>
      </c>
      <c r="C260" s="2" t="s">
        <v>754</v>
      </c>
      <c r="D260" s="2" t="str">
        <f>C260</f>
        <v>Anquiloglossia</v>
      </c>
      <c r="E260" s="2" t="s">
        <v>279</v>
      </c>
      <c r="F260" s="2" t="s">
        <v>239</v>
      </c>
      <c r="G260" s="2" t="s">
        <v>240</v>
      </c>
      <c r="H260" s="2" t="s">
        <v>241</v>
      </c>
      <c r="I260" s="2" t="s">
        <v>280</v>
      </c>
      <c r="J260" s="2" t="s">
        <v>27</v>
      </c>
      <c r="K260" s="2"/>
    </row>
    <row r="261" spans="1:11" ht="26.4" x14ac:dyDescent="0.3">
      <c r="A261" s="2" t="s">
        <v>278</v>
      </c>
      <c r="B261" s="2" t="s">
        <v>755</v>
      </c>
      <c r="C261" s="2" t="s">
        <v>756</v>
      </c>
      <c r="D261" s="2" t="str">
        <f t="shared" ref="D261:D266" si="16">C261</f>
        <v>Macroglossia</v>
      </c>
      <c r="E261" s="2" t="s">
        <v>279</v>
      </c>
      <c r="F261" s="2" t="s">
        <v>239</v>
      </c>
      <c r="G261" s="2" t="s">
        <v>240</v>
      </c>
      <c r="H261" s="2" t="s">
        <v>241</v>
      </c>
      <c r="I261" s="2" t="s">
        <v>280</v>
      </c>
      <c r="J261" s="2" t="s">
        <v>27</v>
      </c>
      <c r="K261" s="2"/>
    </row>
    <row r="262" spans="1:11" ht="39.6" x14ac:dyDescent="0.3">
      <c r="A262" s="2" t="s">
        <v>278</v>
      </c>
      <c r="B262" s="2" t="s">
        <v>757</v>
      </c>
      <c r="C262" s="2" t="s">
        <v>758</v>
      </c>
      <c r="D262" s="2" t="str">
        <f>E262</f>
        <v>Outras malformações congênitas da língua, da boca e da faringe</v>
      </c>
      <c r="E262" s="2" t="s">
        <v>279</v>
      </c>
      <c r="F262" s="2" t="s">
        <v>239</v>
      </c>
      <c r="G262" s="2" t="s">
        <v>240</v>
      </c>
      <c r="H262" s="2" t="s">
        <v>241</v>
      </c>
      <c r="I262" s="2" t="s">
        <v>280</v>
      </c>
      <c r="J262" s="2" t="s">
        <v>27</v>
      </c>
      <c r="K262" s="2"/>
    </row>
    <row r="263" spans="1:11" ht="52.8" x14ac:dyDescent="0.3">
      <c r="A263" s="2" t="s">
        <v>278</v>
      </c>
      <c r="B263" s="2" t="s">
        <v>759</v>
      </c>
      <c r="C263" s="2" t="s">
        <v>760</v>
      </c>
      <c r="D263" s="2" t="str">
        <f>C263</f>
        <v>Malformações congênitas das glândulas e dutos salivares</v>
      </c>
      <c r="E263" s="2" t="s">
        <v>279</v>
      </c>
      <c r="F263" s="2" t="s">
        <v>239</v>
      </c>
      <c r="G263" s="2" t="s">
        <v>240</v>
      </c>
      <c r="H263" s="2" t="s">
        <v>241</v>
      </c>
      <c r="I263" s="2" t="s">
        <v>280</v>
      </c>
      <c r="J263" s="2" t="s">
        <v>27</v>
      </c>
      <c r="K263" s="2"/>
    </row>
    <row r="264" spans="1:11" ht="52.8" x14ac:dyDescent="0.3">
      <c r="A264" s="2" t="s">
        <v>278</v>
      </c>
      <c r="B264" s="2" t="s">
        <v>761</v>
      </c>
      <c r="C264" s="2" t="s">
        <v>762</v>
      </c>
      <c r="D264" s="2" t="str">
        <f t="shared" si="16"/>
        <v>Malformações congênitas do palato não classificadas em outra parte</v>
      </c>
      <c r="E264" s="2" t="s">
        <v>279</v>
      </c>
      <c r="F264" s="2" t="s">
        <v>239</v>
      </c>
      <c r="G264" s="2" t="s">
        <v>240</v>
      </c>
      <c r="H264" s="2" t="s">
        <v>241</v>
      </c>
      <c r="I264" s="2" t="s">
        <v>280</v>
      </c>
      <c r="J264" s="2" t="s">
        <v>27</v>
      </c>
      <c r="K264" s="2"/>
    </row>
    <row r="265" spans="1:11" ht="39.6" x14ac:dyDescent="0.3">
      <c r="A265" s="2" t="s">
        <v>278</v>
      </c>
      <c r="B265" s="2" t="s">
        <v>763</v>
      </c>
      <c r="C265" s="2" t="s">
        <v>764</v>
      </c>
      <c r="D265" s="2" t="str">
        <f>E265</f>
        <v>Outras malformações congênitas da língua, da boca e da faringe</v>
      </c>
      <c r="E265" s="2" t="s">
        <v>279</v>
      </c>
      <c r="F265" s="2" t="s">
        <v>239</v>
      </c>
      <c r="G265" s="2" t="s">
        <v>240</v>
      </c>
      <c r="H265" s="2" t="s">
        <v>241</v>
      </c>
      <c r="I265" s="2" t="s">
        <v>280</v>
      </c>
      <c r="J265" s="2" t="s">
        <v>27</v>
      </c>
      <c r="K265" s="2"/>
    </row>
    <row r="266" spans="1:11" ht="26.4" x14ac:dyDescent="0.3">
      <c r="A266" s="2" t="s">
        <v>278</v>
      </c>
      <c r="B266" s="2" t="s">
        <v>765</v>
      </c>
      <c r="C266" s="2" t="s">
        <v>766</v>
      </c>
      <c r="D266" s="2" t="str">
        <f t="shared" si="16"/>
        <v>Bolsa faríngea</v>
      </c>
      <c r="E266" s="2" t="s">
        <v>279</v>
      </c>
      <c r="F266" s="2" t="s">
        <v>239</v>
      </c>
      <c r="G266" s="2" t="s">
        <v>240</v>
      </c>
      <c r="H266" s="2" t="s">
        <v>241</v>
      </c>
      <c r="I266" s="2" t="s">
        <v>280</v>
      </c>
      <c r="J266" s="2" t="s">
        <v>27</v>
      </c>
      <c r="K266" s="2"/>
    </row>
    <row r="267" spans="1:11" ht="39.6" x14ac:dyDescent="0.3">
      <c r="A267" s="2" t="s">
        <v>278</v>
      </c>
      <c r="B267" s="2" t="s">
        <v>767</v>
      </c>
      <c r="C267" s="2" t="s">
        <v>768</v>
      </c>
      <c r="D267" s="2" t="str">
        <f>E267</f>
        <v>Outras malformações congênitas da língua, da boca e da faringe</v>
      </c>
      <c r="E267" s="2" t="s">
        <v>279</v>
      </c>
      <c r="F267" s="2" t="s">
        <v>239</v>
      </c>
      <c r="G267" s="2" t="s">
        <v>240</v>
      </c>
      <c r="H267" s="2" t="s">
        <v>241</v>
      </c>
      <c r="I267" s="2" t="s">
        <v>280</v>
      </c>
      <c r="J267" s="2" t="s">
        <v>27</v>
      </c>
      <c r="K267" s="2"/>
    </row>
    <row r="268" spans="1:11" ht="39.6" x14ac:dyDescent="0.3">
      <c r="A268" s="2" t="s">
        <v>281</v>
      </c>
      <c r="B268" s="2" t="str">
        <f t="shared" si="13"/>
        <v>Q39</v>
      </c>
      <c r="C268" s="2" t="str">
        <f t="shared" si="14"/>
        <v>Malformações congênitas do esôfago</v>
      </c>
      <c r="D268" s="2" t="str">
        <f t="shared" si="15"/>
        <v>Malformações congênitas do esôfago</v>
      </c>
      <c r="E268" s="2" t="s">
        <v>282</v>
      </c>
      <c r="F268" s="2" t="s">
        <v>239</v>
      </c>
      <c r="G268" s="2" t="s">
        <v>240</v>
      </c>
      <c r="H268" s="2" t="s">
        <v>241</v>
      </c>
      <c r="I268" s="2" t="s">
        <v>280</v>
      </c>
      <c r="J268" s="2" t="s">
        <v>13</v>
      </c>
      <c r="K268" s="2"/>
    </row>
    <row r="269" spans="1:11" ht="26.4" x14ac:dyDescent="0.3">
      <c r="A269" s="2" t="s">
        <v>283</v>
      </c>
      <c r="B269" s="2" t="s">
        <v>769</v>
      </c>
      <c r="C269" s="2" t="s">
        <v>770</v>
      </c>
      <c r="D269" s="2" t="str">
        <f>C269</f>
        <v>Estenose hipertrófica congênita do piloro</v>
      </c>
      <c r="E269" s="2" t="s">
        <v>284</v>
      </c>
      <c r="F269" s="2" t="s">
        <v>239</v>
      </c>
      <c r="G269" s="2" t="s">
        <v>240</v>
      </c>
      <c r="H269" s="2" t="s">
        <v>241</v>
      </c>
      <c r="I269" s="2" t="s">
        <v>280</v>
      </c>
      <c r="J269" s="2" t="s">
        <v>27</v>
      </c>
      <c r="K269" s="2"/>
    </row>
    <row r="270" spans="1:11" ht="26.4" x14ac:dyDescent="0.3">
      <c r="A270" s="2" t="s">
        <v>283</v>
      </c>
      <c r="B270" s="2" t="s">
        <v>771</v>
      </c>
      <c r="C270" s="2" t="s">
        <v>772</v>
      </c>
      <c r="D270" s="2" t="str">
        <f>C270</f>
        <v>Hérnia congênita de hiato</v>
      </c>
      <c r="E270" s="2" t="s">
        <v>284</v>
      </c>
      <c r="F270" s="2" t="s">
        <v>239</v>
      </c>
      <c r="G270" s="2" t="s">
        <v>240</v>
      </c>
      <c r="H270" s="2" t="s">
        <v>241</v>
      </c>
      <c r="I270" s="2" t="s">
        <v>280</v>
      </c>
      <c r="J270" s="2" t="s">
        <v>27</v>
      </c>
      <c r="K270" s="2"/>
    </row>
    <row r="271" spans="1:11" ht="39.6" x14ac:dyDescent="0.3">
      <c r="A271" s="2" t="s">
        <v>283</v>
      </c>
      <c r="B271" s="2" t="s">
        <v>773</v>
      </c>
      <c r="C271" s="2" t="s">
        <v>774</v>
      </c>
      <c r="D271" s="2" t="str">
        <f>E271</f>
        <v>Outras malformações congênitas do trato digestivo superior</v>
      </c>
      <c r="E271" s="2" t="s">
        <v>284</v>
      </c>
      <c r="F271" s="2" t="s">
        <v>239</v>
      </c>
      <c r="G271" s="2" t="s">
        <v>240</v>
      </c>
      <c r="H271" s="2" t="s">
        <v>241</v>
      </c>
      <c r="I271" s="2" t="s">
        <v>280</v>
      </c>
      <c r="J271" s="2" t="s">
        <v>27</v>
      </c>
      <c r="K271" s="2"/>
    </row>
    <row r="272" spans="1:11" ht="39.6" x14ac:dyDescent="0.3">
      <c r="A272" s="2" t="s">
        <v>283</v>
      </c>
      <c r="B272" s="2" t="s">
        <v>775</v>
      </c>
      <c r="C272" s="2" t="s">
        <v>776</v>
      </c>
      <c r="D272" s="2" t="str">
        <f>E272</f>
        <v>Outras malformações congênitas do trato digestivo superior</v>
      </c>
      <c r="E272" s="2" t="s">
        <v>284</v>
      </c>
      <c r="F272" s="2" t="s">
        <v>239</v>
      </c>
      <c r="G272" s="2" t="s">
        <v>240</v>
      </c>
      <c r="H272" s="2" t="s">
        <v>241</v>
      </c>
      <c r="I272" s="2" t="s">
        <v>280</v>
      </c>
      <c r="J272" s="2" t="s">
        <v>27</v>
      </c>
      <c r="K272" s="2"/>
    </row>
    <row r="273" spans="1:11" ht="39.6" x14ac:dyDescent="0.3">
      <c r="A273" s="2" t="s">
        <v>283</v>
      </c>
      <c r="B273" s="2" t="s">
        <v>777</v>
      </c>
      <c r="C273" s="2" t="s">
        <v>778</v>
      </c>
      <c r="D273" s="2" t="str">
        <f>E273</f>
        <v>Outras malformações congênitas do trato digestivo superior</v>
      </c>
      <c r="E273" s="2" t="s">
        <v>284</v>
      </c>
      <c r="F273" s="2" t="s">
        <v>239</v>
      </c>
      <c r="G273" s="2" t="s">
        <v>240</v>
      </c>
      <c r="H273" s="2" t="s">
        <v>241</v>
      </c>
      <c r="I273" s="2" t="s">
        <v>280</v>
      </c>
      <c r="J273" s="2" t="s">
        <v>27</v>
      </c>
      <c r="K273" s="2"/>
    </row>
    <row r="274" spans="1:11" ht="39.6" x14ac:dyDescent="0.3">
      <c r="A274" s="2" t="s">
        <v>283</v>
      </c>
      <c r="B274" s="2" t="s">
        <v>779</v>
      </c>
      <c r="C274" s="2" t="s">
        <v>780</v>
      </c>
      <c r="D274" s="2" t="str">
        <f>E274</f>
        <v>Outras malformações congênitas do trato digestivo superior</v>
      </c>
      <c r="E274" s="2" t="s">
        <v>284</v>
      </c>
      <c r="F274" s="2" t="s">
        <v>239</v>
      </c>
      <c r="G274" s="2" t="s">
        <v>240</v>
      </c>
      <c r="H274" s="2" t="s">
        <v>241</v>
      </c>
      <c r="I274" s="2" t="s">
        <v>280</v>
      </c>
      <c r="J274" s="2" t="s">
        <v>27</v>
      </c>
      <c r="K274" s="2"/>
    </row>
    <row r="275" spans="1:11" ht="39.6" x14ac:dyDescent="0.3">
      <c r="A275" s="2" t="s">
        <v>285</v>
      </c>
      <c r="B275" s="2" t="str">
        <f>A275</f>
        <v>Q42</v>
      </c>
      <c r="C275" s="2" t="str">
        <f>E275</f>
        <v>Ausência, atresia e estenose congênitas do intestino grosso</v>
      </c>
      <c r="D275" s="2" t="str">
        <f>E275</f>
        <v>Ausência, atresia e estenose congênitas do intestino grosso</v>
      </c>
      <c r="E275" s="2" t="s">
        <v>286</v>
      </c>
      <c r="F275" s="2" t="s">
        <v>239</v>
      </c>
      <c r="G275" s="2" t="s">
        <v>240</v>
      </c>
      <c r="H275" s="2" t="s">
        <v>241</v>
      </c>
      <c r="I275" s="2" t="s">
        <v>280</v>
      </c>
      <c r="J275" s="2" t="s">
        <v>13</v>
      </c>
      <c r="K275" s="2"/>
    </row>
    <row r="276" spans="1:11" ht="26.4" x14ac:dyDescent="0.3">
      <c r="A276" s="2" t="s">
        <v>287</v>
      </c>
      <c r="B276" s="2" t="str">
        <f t="shared" ref="B276:B280" si="17">A276</f>
        <v>Q53</v>
      </c>
      <c r="C276" s="2" t="str">
        <f t="shared" ref="C276:C280" si="18">E276</f>
        <v>Testículo não descido (criptorquidia)</v>
      </c>
      <c r="D276" s="2" t="str">
        <f t="shared" ref="D276:D280" si="19">E276</f>
        <v>Testículo não descido (criptorquidia)</v>
      </c>
      <c r="E276" s="2" t="s">
        <v>288</v>
      </c>
      <c r="F276" s="2" t="s">
        <v>239</v>
      </c>
      <c r="G276" s="2" t="s">
        <v>240</v>
      </c>
      <c r="H276" s="2" t="s">
        <v>241</v>
      </c>
      <c r="I276" s="2" t="s">
        <v>289</v>
      </c>
      <c r="J276" s="2" t="s">
        <v>13</v>
      </c>
      <c r="K276" s="2"/>
    </row>
    <row r="277" spans="1:11" ht="26.4" x14ac:dyDescent="0.3">
      <c r="A277" s="2" t="s">
        <v>290</v>
      </c>
      <c r="B277" s="2" t="str">
        <f t="shared" si="17"/>
        <v>Q54</v>
      </c>
      <c r="C277" s="2" t="str">
        <f t="shared" si="18"/>
        <v>Hipospádia</v>
      </c>
      <c r="D277" s="2" t="str">
        <f t="shared" si="19"/>
        <v>Hipospádia</v>
      </c>
      <c r="E277" s="2" t="s">
        <v>291</v>
      </c>
      <c r="F277" s="2" t="s">
        <v>239</v>
      </c>
      <c r="G277" s="2" t="s">
        <v>240</v>
      </c>
      <c r="H277" s="2" t="s">
        <v>241</v>
      </c>
      <c r="I277" s="2" t="s">
        <v>289</v>
      </c>
      <c r="J277" s="2" t="s">
        <v>13</v>
      </c>
      <c r="K277" s="2"/>
    </row>
    <row r="278" spans="1:11" ht="39.6" x14ac:dyDescent="0.3">
      <c r="A278" s="2" t="s">
        <v>292</v>
      </c>
      <c r="B278" s="2" t="str">
        <f t="shared" si="17"/>
        <v>Q60</v>
      </c>
      <c r="C278" s="2" t="str">
        <f t="shared" si="18"/>
        <v>Agenesia renal e outras deficiências de redução do rim</v>
      </c>
      <c r="D278" s="2" t="str">
        <f t="shared" si="19"/>
        <v>Agenesia renal e outras deficiências de redução do rim</v>
      </c>
      <c r="E278" s="2" t="s">
        <v>293</v>
      </c>
      <c r="F278" s="2" t="s">
        <v>239</v>
      </c>
      <c r="G278" s="2" t="s">
        <v>240</v>
      </c>
      <c r="H278" s="2" t="s">
        <v>241</v>
      </c>
      <c r="I278" s="2" t="s">
        <v>294</v>
      </c>
      <c r="J278" s="2" t="s">
        <v>13</v>
      </c>
      <c r="K278" s="2"/>
    </row>
    <row r="279" spans="1:11" ht="26.4" x14ac:dyDescent="0.3">
      <c r="A279" s="2" t="s">
        <v>295</v>
      </c>
      <c r="B279" s="2" t="str">
        <f t="shared" si="17"/>
        <v>Q66</v>
      </c>
      <c r="C279" s="2" t="str">
        <f t="shared" si="18"/>
        <v>Deformidades congênitas do pé</v>
      </c>
      <c r="D279" s="2" t="str">
        <f t="shared" si="19"/>
        <v>Deformidades congênitas do pé</v>
      </c>
      <c r="E279" s="2" t="s">
        <v>296</v>
      </c>
      <c r="F279" s="2" t="s">
        <v>239</v>
      </c>
      <c r="G279" s="2" t="s">
        <v>240</v>
      </c>
      <c r="H279" s="2" t="s">
        <v>241</v>
      </c>
      <c r="I279" s="2" t="s">
        <v>253</v>
      </c>
      <c r="J279" s="2" t="s">
        <v>13</v>
      </c>
      <c r="K279" s="2"/>
    </row>
    <row r="280" spans="1:11" ht="26.4" x14ac:dyDescent="0.3">
      <c r="A280" s="2" t="s">
        <v>297</v>
      </c>
      <c r="B280" s="2" t="str">
        <f t="shared" si="17"/>
        <v>Q69</v>
      </c>
      <c r="C280" s="2" t="str">
        <f t="shared" si="18"/>
        <v>Polidactilia</v>
      </c>
      <c r="D280" s="2" t="str">
        <f t="shared" si="19"/>
        <v>Polidactilia</v>
      </c>
      <c r="E280" s="2" t="s">
        <v>298</v>
      </c>
      <c r="F280" s="2" t="s">
        <v>239</v>
      </c>
      <c r="G280" s="2" t="s">
        <v>240</v>
      </c>
      <c r="H280" s="2" t="s">
        <v>241</v>
      </c>
      <c r="I280" s="2" t="s">
        <v>253</v>
      </c>
      <c r="J280" s="2" t="s">
        <v>13</v>
      </c>
      <c r="K280" s="2"/>
    </row>
    <row r="281" spans="1:11" ht="26.4" x14ac:dyDescent="0.3">
      <c r="A281" s="2" t="s">
        <v>299</v>
      </c>
      <c r="B281" s="2" t="s">
        <v>781</v>
      </c>
      <c r="C281" s="2" t="s">
        <v>782</v>
      </c>
      <c r="D281" s="2" t="str">
        <f>C281</f>
        <v>Osteogênese imperfeita</v>
      </c>
      <c r="E281" s="2" t="s">
        <v>300</v>
      </c>
      <c r="F281" s="2" t="s">
        <v>239</v>
      </c>
      <c r="G281" s="2" t="s">
        <v>240</v>
      </c>
      <c r="H281" s="2" t="s">
        <v>241</v>
      </c>
      <c r="I281" s="2" t="s">
        <v>253</v>
      </c>
      <c r="J281" s="2" t="s">
        <v>27</v>
      </c>
      <c r="K281" s="2"/>
    </row>
    <row r="282" spans="1:11" ht="26.4" x14ac:dyDescent="0.3">
      <c r="A282" s="2" t="s">
        <v>299</v>
      </c>
      <c r="B282" s="2" t="s">
        <v>783</v>
      </c>
      <c r="C282" s="2" t="s">
        <v>784</v>
      </c>
      <c r="D282" s="2" t="str">
        <f t="shared" ref="D282:D287" si="20">C282</f>
        <v>Displasia poliostótica fibrosa</v>
      </c>
      <c r="E282" s="2" t="s">
        <v>300</v>
      </c>
      <c r="F282" s="2" t="s">
        <v>239</v>
      </c>
      <c r="G282" s="2" t="s">
        <v>240</v>
      </c>
      <c r="H282" s="2" t="s">
        <v>241</v>
      </c>
      <c r="I282" s="2" t="s">
        <v>253</v>
      </c>
      <c r="J282" s="2" t="s">
        <v>27</v>
      </c>
      <c r="K282" s="2"/>
    </row>
    <row r="283" spans="1:11" ht="26.4" x14ac:dyDescent="0.3">
      <c r="A283" s="2" t="s">
        <v>299</v>
      </c>
      <c r="B283" s="2" t="s">
        <v>785</v>
      </c>
      <c r="C283" s="2" t="s">
        <v>786</v>
      </c>
      <c r="D283" s="2" t="str">
        <f t="shared" si="20"/>
        <v>Osteopetrose</v>
      </c>
      <c r="E283" s="2" t="s">
        <v>300</v>
      </c>
      <c r="F283" s="2" t="s">
        <v>239</v>
      </c>
      <c r="G283" s="2" t="s">
        <v>240</v>
      </c>
      <c r="H283" s="2" t="s">
        <v>241</v>
      </c>
      <c r="I283" s="2" t="s">
        <v>253</v>
      </c>
      <c r="J283" s="2" t="s">
        <v>27</v>
      </c>
      <c r="K283" s="2"/>
    </row>
    <row r="284" spans="1:11" ht="26.4" x14ac:dyDescent="0.3">
      <c r="A284" s="2" t="s">
        <v>299</v>
      </c>
      <c r="B284" s="2" t="s">
        <v>787</v>
      </c>
      <c r="C284" s="2" t="s">
        <v>788</v>
      </c>
      <c r="D284" s="2" t="str">
        <f t="shared" si="20"/>
        <v>Displasia diafisária progressiva</v>
      </c>
      <c r="E284" s="2" t="s">
        <v>300</v>
      </c>
      <c r="F284" s="2" t="s">
        <v>239</v>
      </c>
      <c r="G284" s="2" t="s">
        <v>240</v>
      </c>
      <c r="H284" s="2" t="s">
        <v>241</v>
      </c>
      <c r="I284" s="2" t="s">
        <v>253</v>
      </c>
      <c r="J284" s="2" t="s">
        <v>27</v>
      </c>
      <c r="K284" s="2"/>
    </row>
    <row r="285" spans="1:11" ht="26.4" x14ac:dyDescent="0.3">
      <c r="A285" s="2" t="s">
        <v>299</v>
      </c>
      <c r="B285" s="2" t="s">
        <v>789</v>
      </c>
      <c r="C285" s="2" t="s">
        <v>790</v>
      </c>
      <c r="D285" s="2" t="str">
        <f t="shared" si="20"/>
        <v>Encondromatose</v>
      </c>
      <c r="E285" s="2" t="s">
        <v>300</v>
      </c>
      <c r="F285" s="2" t="s">
        <v>239</v>
      </c>
      <c r="G285" s="2" t="s">
        <v>240</v>
      </c>
      <c r="H285" s="2" t="s">
        <v>241</v>
      </c>
      <c r="I285" s="2" t="s">
        <v>253</v>
      </c>
      <c r="J285" s="2" t="s">
        <v>27</v>
      </c>
      <c r="K285" s="2"/>
    </row>
    <row r="286" spans="1:11" ht="26.4" x14ac:dyDescent="0.3">
      <c r="A286" s="2" t="s">
        <v>299</v>
      </c>
      <c r="B286" s="2" t="s">
        <v>791</v>
      </c>
      <c r="C286" s="2" t="s">
        <v>792</v>
      </c>
      <c r="D286" s="2" t="str">
        <f t="shared" si="20"/>
        <v>Displasia metafisária</v>
      </c>
      <c r="E286" s="2" t="s">
        <v>300</v>
      </c>
      <c r="F286" s="2" t="s">
        <v>239</v>
      </c>
      <c r="G286" s="2" t="s">
        <v>240</v>
      </c>
      <c r="H286" s="2" t="s">
        <v>241</v>
      </c>
      <c r="I286" s="2" t="s">
        <v>253</v>
      </c>
      <c r="J286" s="2" t="s">
        <v>27</v>
      </c>
      <c r="K286" s="2"/>
    </row>
    <row r="287" spans="1:11" ht="26.4" x14ac:dyDescent="0.3">
      <c r="A287" s="2" t="s">
        <v>299</v>
      </c>
      <c r="B287" s="2" t="s">
        <v>793</v>
      </c>
      <c r="C287" s="2" t="s">
        <v>794</v>
      </c>
      <c r="D287" s="2" t="str">
        <f t="shared" si="20"/>
        <v>Exostoses congênitas múltiplas</v>
      </c>
      <c r="E287" s="2" t="s">
        <v>300</v>
      </c>
      <c r="F287" s="2" t="s">
        <v>239</v>
      </c>
      <c r="G287" s="2" t="s">
        <v>240</v>
      </c>
      <c r="H287" s="2" t="s">
        <v>241</v>
      </c>
      <c r="I287" s="2" t="s">
        <v>253</v>
      </c>
      <c r="J287" s="2" t="s">
        <v>27</v>
      </c>
      <c r="K287" s="2"/>
    </row>
    <row r="288" spans="1:11" ht="26.4" x14ac:dyDescent="0.3">
      <c r="A288" s="2" t="s">
        <v>299</v>
      </c>
      <c r="B288" s="2" t="s">
        <v>795</v>
      </c>
      <c r="C288" s="2" t="s">
        <v>796</v>
      </c>
      <c r="D288" s="2" t="str">
        <f>E288</f>
        <v>Outras osteocondrodisplasias</v>
      </c>
      <c r="E288" s="2" t="s">
        <v>300</v>
      </c>
      <c r="F288" s="2" t="s">
        <v>239</v>
      </c>
      <c r="G288" s="2" t="s">
        <v>240</v>
      </c>
      <c r="H288" s="2" t="s">
        <v>241</v>
      </c>
      <c r="I288" s="2" t="s">
        <v>253</v>
      </c>
      <c r="J288" s="2" t="s">
        <v>27</v>
      </c>
      <c r="K288" s="2"/>
    </row>
    <row r="289" spans="1:11" ht="26.4" x14ac:dyDescent="0.3">
      <c r="A289" s="2" t="s">
        <v>299</v>
      </c>
      <c r="B289" s="2" t="s">
        <v>797</v>
      </c>
      <c r="C289" s="2" t="s">
        <v>798</v>
      </c>
      <c r="D289" s="2" t="str">
        <f>E289</f>
        <v>Outras osteocondrodisplasias</v>
      </c>
      <c r="E289" s="2" t="s">
        <v>300</v>
      </c>
      <c r="F289" s="2" t="s">
        <v>239</v>
      </c>
      <c r="G289" s="2" t="s">
        <v>240</v>
      </c>
      <c r="H289" s="2" t="s">
        <v>241</v>
      </c>
      <c r="I289" s="2" t="s">
        <v>253</v>
      </c>
      <c r="J289" s="2" t="s">
        <v>27</v>
      </c>
      <c r="K289" s="2"/>
    </row>
    <row r="290" spans="1:11" ht="79.2" x14ac:dyDescent="0.3">
      <c r="A290" s="2" t="s">
        <v>301</v>
      </c>
      <c r="B290" s="2" t="str">
        <f>A290</f>
        <v>Q79</v>
      </c>
      <c r="C290" s="2" t="str">
        <f>E290</f>
        <v>Malformações congênitas do sistema osteomuscular NCOP (hérnia diafragmática, onfalocele, gastrosquise)</v>
      </c>
      <c r="D290" s="2" t="str">
        <f>E290</f>
        <v>Malformações congênitas do sistema osteomuscular NCOP (hérnia diafragmática, onfalocele, gastrosquise)</v>
      </c>
      <c r="E290" s="2" t="s">
        <v>302</v>
      </c>
      <c r="F290" s="2" t="s">
        <v>239</v>
      </c>
      <c r="G290" s="2" t="s">
        <v>240</v>
      </c>
      <c r="H290" s="2" t="s">
        <v>241</v>
      </c>
      <c r="I290" s="2" t="s">
        <v>303</v>
      </c>
      <c r="J290" s="2" t="s">
        <v>13</v>
      </c>
      <c r="K290" s="2" t="s">
        <v>304</v>
      </c>
    </row>
    <row r="291" spans="1:11" ht="39.6" x14ac:dyDescent="0.3">
      <c r="A291" s="2" t="s">
        <v>305</v>
      </c>
      <c r="B291" s="2" t="str">
        <f>A291</f>
        <v>Q87</v>
      </c>
      <c r="C291" s="2" t="str">
        <f>E291</f>
        <v>Outras síndromes com malformações congênitas múltiplas</v>
      </c>
      <c r="D291" s="2" t="str">
        <f>E291</f>
        <v>Outras síndromes com malformações congênitas múltiplas</v>
      </c>
      <c r="E291" s="2" t="s">
        <v>306</v>
      </c>
      <c r="F291" s="2" t="s">
        <v>239</v>
      </c>
      <c r="G291" s="2" t="s">
        <v>240</v>
      </c>
      <c r="H291" s="2" t="s">
        <v>241</v>
      </c>
      <c r="I291" s="2" t="s">
        <v>307</v>
      </c>
      <c r="J291" s="2" t="s">
        <v>13</v>
      </c>
      <c r="K291" s="2"/>
    </row>
    <row r="292" spans="1:11" ht="26.4" x14ac:dyDescent="0.3">
      <c r="A292" s="2" t="s">
        <v>308</v>
      </c>
      <c r="B292" s="2" t="s">
        <v>799</v>
      </c>
      <c r="C292" s="2" t="s">
        <v>800</v>
      </c>
      <c r="D292" s="2" t="str">
        <f>C292</f>
        <v>Malformações congênitas do baço</v>
      </c>
      <c r="E292" s="2" t="s">
        <v>309</v>
      </c>
      <c r="F292" s="2" t="s">
        <v>239</v>
      </c>
      <c r="G292" s="2" t="s">
        <v>240</v>
      </c>
      <c r="H292" s="2" t="s">
        <v>241</v>
      </c>
      <c r="I292" s="2" t="s">
        <v>310</v>
      </c>
      <c r="J292" s="2" t="s">
        <v>27</v>
      </c>
      <c r="K292" s="2"/>
    </row>
    <row r="293" spans="1:11" ht="39.6" x14ac:dyDescent="0.3">
      <c r="A293" s="2" t="s">
        <v>308</v>
      </c>
      <c r="B293" s="2" t="s">
        <v>801</v>
      </c>
      <c r="C293" s="2" t="s">
        <v>802</v>
      </c>
      <c r="D293" s="2" t="str">
        <f t="shared" ref="D293:D296" si="21">C293</f>
        <v>Malformações congênitas das supra-renais</v>
      </c>
      <c r="E293" s="2" t="s">
        <v>309</v>
      </c>
      <c r="F293" s="2" t="s">
        <v>239</v>
      </c>
      <c r="G293" s="2" t="s">
        <v>240</v>
      </c>
      <c r="H293" s="2" t="s">
        <v>241</v>
      </c>
      <c r="I293" s="2" t="s">
        <v>310</v>
      </c>
      <c r="J293" s="2" t="s">
        <v>27</v>
      </c>
      <c r="K293" s="2"/>
    </row>
    <row r="294" spans="1:11" ht="39.6" x14ac:dyDescent="0.3">
      <c r="A294" s="2" t="s">
        <v>308</v>
      </c>
      <c r="B294" s="2" t="s">
        <v>803</v>
      </c>
      <c r="C294" s="2" t="s">
        <v>804</v>
      </c>
      <c r="D294" s="2" t="str">
        <f t="shared" si="21"/>
        <v>Malformações congênitas de outras glândulas endócrinas</v>
      </c>
      <c r="E294" s="2" t="s">
        <v>309</v>
      </c>
      <c r="F294" s="2" t="s">
        <v>239</v>
      </c>
      <c r="G294" s="2" t="s">
        <v>240</v>
      </c>
      <c r="H294" s="2" t="s">
        <v>241</v>
      </c>
      <c r="I294" s="2" t="s">
        <v>310</v>
      </c>
      <c r="J294" s="2" t="s">
        <v>27</v>
      </c>
      <c r="K294" s="2"/>
    </row>
    <row r="295" spans="1:11" ht="26.4" x14ac:dyDescent="0.3">
      <c r="A295" s="2" t="s">
        <v>308</v>
      </c>
      <c r="B295" s="2" t="s">
        <v>805</v>
      </c>
      <c r="C295" s="2" t="s">
        <v>806</v>
      </c>
      <c r="D295" s="2" t="str">
        <f t="shared" si="21"/>
        <v>Situs inversus</v>
      </c>
      <c r="E295" s="2" t="s">
        <v>309</v>
      </c>
      <c r="F295" s="2" t="s">
        <v>239</v>
      </c>
      <c r="G295" s="2" t="s">
        <v>240</v>
      </c>
      <c r="H295" s="2" t="s">
        <v>241</v>
      </c>
      <c r="I295" s="2" t="s">
        <v>310</v>
      </c>
      <c r="J295" s="2" t="s">
        <v>27</v>
      </c>
      <c r="K295" s="2"/>
    </row>
    <row r="296" spans="1:11" ht="26.4" x14ac:dyDescent="0.3">
      <c r="A296" s="2" t="s">
        <v>308</v>
      </c>
      <c r="B296" s="2" t="s">
        <v>807</v>
      </c>
      <c r="C296" s="2" t="s">
        <v>808</v>
      </c>
      <c r="D296" s="2" t="str">
        <f t="shared" si="21"/>
        <v>Reunião de gêmeos</v>
      </c>
      <c r="E296" s="2" t="s">
        <v>309</v>
      </c>
      <c r="F296" s="2" t="s">
        <v>239</v>
      </c>
      <c r="G296" s="2" t="s">
        <v>240</v>
      </c>
      <c r="H296" s="2" t="s">
        <v>241</v>
      </c>
      <c r="I296" s="2" t="s">
        <v>310</v>
      </c>
      <c r="J296" s="2" t="s">
        <v>27</v>
      </c>
      <c r="K296" s="2"/>
    </row>
    <row r="297" spans="1:11" ht="52.8" x14ac:dyDescent="0.3">
      <c r="A297" s="2" t="s">
        <v>308</v>
      </c>
      <c r="B297" s="2" t="s">
        <v>809</v>
      </c>
      <c r="C297" s="2" t="s">
        <v>810</v>
      </c>
      <c r="D297" s="2" t="str">
        <f>E297</f>
        <v>Outras malformações congênitas não classificadas em outra parte</v>
      </c>
      <c r="E297" s="2" t="s">
        <v>309</v>
      </c>
      <c r="F297" s="2" t="s">
        <v>239</v>
      </c>
      <c r="G297" s="2" t="s">
        <v>240</v>
      </c>
      <c r="H297" s="2" t="s">
        <v>241</v>
      </c>
      <c r="I297" s="2" t="s">
        <v>310</v>
      </c>
      <c r="J297" s="2" t="s">
        <v>27</v>
      </c>
      <c r="K297" s="2"/>
    </row>
    <row r="298" spans="1:11" ht="52.8" x14ac:dyDescent="0.3">
      <c r="A298" s="2" t="s">
        <v>308</v>
      </c>
      <c r="B298" s="2" t="s">
        <v>811</v>
      </c>
      <c r="C298" s="2" t="s">
        <v>812</v>
      </c>
      <c r="D298" s="2" t="str">
        <f>E298</f>
        <v>Outras malformações congênitas não classificadas em outra parte</v>
      </c>
      <c r="E298" s="2" t="s">
        <v>309</v>
      </c>
      <c r="F298" s="2" t="s">
        <v>239</v>
      </c>
      <c r="G298" s="2" t="s">
        <v>240</v>
      </c>
      <c r="H298" s="2" t="s">
        <v>241</v>
      </c>
      <c r="I298" s="2" t="s">
        <v>310</v>
      </c>
      <c r="J298" s="2" t="s">
        <v>27</v>
      </c>
      <c r="K298" s="2"/>
    </row>
    <row r="299" spans="1:11" ht="52.8" x14ac:dyDescent="0.3">
      <c r="A299" s="2" t="s">
        <v>308</v>
      </c>
      <c r="B299" s="2" t="s">
        <v>813</v>
      </c>
      <c r="C299" s="2" t="s">
        <v>814</v>
      </c>
      <c r="D299" s="2" t="str">
        <f>E299</f>
        <v>Outras malformações congênitas não classificadas em outra parte</v>
      </c>
      <c r="E299" s="2" t="s">
        <v>309</v>
      </c>
      <c r="F299" s="2" t="s">
        <v>239</v>
      </c>
      <c r="G299" s="2" t="s">
        <v>240</v>
      </c>
      <c r="H299" s="2" t="s">
        <v>241</v>
      </c>
      <c r="I299" s="2" t="s">
        <v>310</v>
      </c>
      <c r="J299" s="2" t="s">
        <v>27</v>
      </c>
      <c r="K299" s="2"/>
    </row>
    <row r="300" spans="1:11" ht="26.4" x14ac:dyDescent="0.3">
      <c r="A300" s="2" t="s">
        <v>311</v>
      </c>
      <c r="B300" s="2" t="str">
        <f>A300</f>
        <v>Q90</v>
      </c>
      <c r="C300" s="2" t="str">
        <f>E300</f>
        <v>Síndrome de Down</v>
      </c>
      <c r="D300" s="2" t="str">
        <f>E300</f>
        <v>Síndrome de Down</v>
      </c>
      <c r="E300" s="2" t="s">
        <v>312</v>
      </c>
      <c r="F300" s="2" t="s">
        <v>239</v>
      </c>
      <c r="G300" s="2" t="s">
        <v>240</v>
      </c>
      <c r="H300" s="2" t="s">
        <v>241</v>
      </c>
      <c r="I300" s="2" t="s">
        <v>307</v>
      </c>
      <c r="J300" s="2" t="s">
        <v>13</v>
      </c>
      <c r="K300" s="2"/>
    </row>
    <row r="301" spans="1:11" ht="26.4" x14ac:dyDescent="0.3">
      <c r="A301" s="2" t="s">
        <v>313</v>
      </c>
      <c r="B301" s="2" t="str">
        <f>A301</f>
        <v>Q91</v>
      </c>
      <c r="C301" s="2" t="str">
        <f>E301</f>
        <v>Síndrome de Edwards e síndrome de Patau</v>
      </c>
      <c r="D301" s="2" t="str">
        <f>E301</f>
        <v>Síndrome de Edwards e síndrome de Patau</v>
      </c>
      <c r="E301" s="2" t="s">
        <v>314</v>
      </c>
      <c r="F301" s="2" t="s">
        <v>239</v>
      </c>
      <c r="G301" s="2" t="s">
        <v>240</v>
      </c>
      <c r="H301" s="2" t="s">
        <v>241</v>
      </c>
      <c r="I301" s="2" t="s">
        <v>307</v>
      </c>
      <c r="J301" s="2" t="s">
        <v>13</v>
      </c>
      <c r="K301" s="2"/>
    </row>
    <row r="302" spans="1:11" ht="26.4" x14ac:dyDescent="0.3">
      <c r="A302" s="2" t="s">
        <v>315</v>
      </c>
      <c r="B302" s="2" t="str">
        <f>A302</f>
        <v>R50</v>
      </c>
      <c r="C302" s="2" t="str">
        <f>E302</f>
        <v>Febre de origem desconhecida</v>
      </c>
      <c r="D302" s="2" t="str">
        <f>E302</f>
        <v>Febre de origem desconhecida</v>
      </c>
      <c r="E302" s="2" t="s">
        <v>316</v>
      </c>
      <c r="F302" s="2" t="s">
        <v>317</v>
      </c>
      <c r="G302" s="2" t="s">
        <v>318</v>
      </c>
      <c r="H302" s="2" t="s">
        <v>319</v>
      </c>
      <c r="I302" s="2" t="s">
        <v>319</v>
      </c>
      <c r="J302" s="2" t="s">
        <v>27</v>
      </c>
      <c r="K302" s="2"/>
    </row>
    <row r="303" spans="1:11" ht="52.8" x14ac:dyDescent="0.3">
      <c r="A303" s="2" t="s">
        <v>320</v>
      </c>
      <c r="B303" s="2" t="str">
        <f>A303</f>
        <v>R69</v>
      </c>
      <c r="C303" s="2" t="str">
        <f>E303</f>
        <v>Causas desconhecidas e não especificadas de morbidade</v>
      </c>
      <c r="D303" s="2" t="str">
        <f>E303</f>
        <v>Causas desconhecidas e não especificadas de morbidade</v>
      </c>
      <c r="E303" s="2" t="s">
        <v>321</v>
      </c>
      <c r="F303" s="2" t="s">
        <v>317</v>
      </c>
      <c r="G303" s="2" t="s">
        <v>318</v>
      </c>
      <c r="H303" s="2" t="s">
        <v>319</v>
      </c>
      <c r="I303" s="2" t="s">
        <v>319</v>
      </c>
      <c r="J303" s="2" t="s">
        <v>27</v>
      </c>
      <c r="K303" s="2"/>
    </row>
    <row r="304" spans="1:11" ht="26.4" x14ac:dyDescent="0.3">
      <c r="A304" s="2" t="s">
        <v>322</v>
      </c>
      <c r="B304" s="2" t="str">
        <f>A304</f>
        <v>R95</v>
      </c>
      <c r="C304" s="2" t="str">
        <f>E304</f>
        <v>Síndrome da morte súbita na infância</v>
      </c>
      <c r="D304" s="2" t="str">
        <f>E304</f>
        <v>Síndrome da morte súbita na infância</v>
      </c>
      <c r="E304" s="2" t="s">
        <v>323</v>
      </c>
      <c r="F304" s="2" t="s">
        <v>317</v>
      </c>
      <c r="G304" s="2" t="s">
        <v>318</v>
      </c>
      <c r="H304" s="2" t="s">
        <v>319</v>
      </c>
      <c r="I304" s="2" t="s">
        <v>324</v>
      </c>
      <c r="J304" s="2" t="s">
        <v>13</v>
      </c>
      <c r="K304" s="2"/>
    </row>
    <row r="305" spans="1:11" ht="26.4" x14ac:dyDescent="0.3">
      <c r="A305" s="2" t="s">
        <v>325</v>
      </c>
      <c r="B305" s="2" t="str">
        <f>A305</f>
        <v>R98</v>
      </c>
      <c r="C305" s="2" t="str">
        <f>E305</f>
        <v>Morte sem assistência</v>
      </c>
      <c r="D305" s="2" t="str">
        <f>E305</f>
        <v>Morte sem assistência</v>
      </c>
      <c r="E305" s="2" t="s">
        <v>326</v>
      </c>
      <c r="F305" s="2" t="s">
        <v>317</v>
      </c>
      <c r="G305" s="2" t="s">
        <v>318</v>
      </c>
      <c r="H305" s="2" t="s">
        <v>319</v>
      </c>
      <c r="I305" s="2" t="s">
        <v>319</v>
      </c>
      <c r="J305" s="2" t="s">
        <v>27</v>
      </c>
      <c r="K305" s="2"/>
    </row>
    <row r="306" spans="1:11" ht="52.8" x14ac:dyDescent="0.3">
      <c r="A306" s="2" t="s">
        <v>327</v>
      </c>
      <c r="B306" s="2" t="str">
        <f>A306</f>
        <v>R99</v>
      </c>
      <c r="C306" s="2" t="str">
        <f>E306</f>
        <v>Outras causas mal definidas e as não especificadas de mortalidade</v>
      </c>
      <c r="D306" s="2" t="str">
        <f>E306</f>
        <v>Outras causas mal definidas e as não especificadas de mortalidade</v>
      </c>
      <c r="E306" s="2" t="s">
        <v>328</v>
      </c>
      <c r="F306" s="2" t="s">
        <v>317</v>
      </c>
      <c r="G306" s="2" t="s">
        <v>318</v>
      </c>
      <c r="H306" s="2" t="s">
        <v>319</v>
      </c>
      <c r="I306" s="2" t="s">
        <v>319</v>
      </c>
      <c r="J306" s="2" t="s">
        <v>27</v>
      </c>
      <c r="K306" s="2"/>
    </row>
    <row r="307" spans="1:11" ht="26.4" x14ac:dyDescent="0.3">
      <c r="A307" s="2" t="s">
        <v>329</v>
      </c>
      <c r="B307" s="2" t="str">
        <f>A307</f>
        <v>S06</v>
      </c>
      <c r="C307" s="2" t="str">
        <f>E307</f>
        <v>Traumatismo intracraniano</v>
      </c>
      <c r="D307" s="2" t="str">
        <f>E307</f>
        <v>Traumatismo intracraniano</v>
      </c>
      <c r="E307" s="2" t="s">
        <v>330</v>
      </c>
      <c r="F307" s="2" t="s">
        <v>331</v>
      </c>
      <c r="G307" s="2" t="s">
        <v>332</v>
      </c>
      <c r="H307" s="2" t="s">
        <v>333</v>
      </c>
      <c r="I307" s="2" t="s">
        <v>334</v>
      </c>
      <c r="J307" s="2" t="s">
        <v>13</v>
      </c>
      <c r="K307" s="2"/>
    </row>
    <row r="308" spans="1:11" ht="26.4" x14ac:dyDescent="0.3">
      <c r="A308" s="2" t="s">
        <v>335</v>
      </c>
      <c r="B308" s="2" t="str">
        <f t="shared" ref="B308:B315" si="22">A308</f>
        <v>S42</v>
      </c>
      <c r="C308" s="2" t="str">
        <f t="shared" ref="C308:C315" si="23">E308</f>
        <v>Fratura do ombro e do braço</v>
      </c>
      <c r="D308" s="2" t="str">
        <f t="shared" ref="D308:D315" si="24">E308</f>
        <v>Fratura do ombro e do braço</v>
      </c>
      <c r="E308" s="2" t="s">
        <v>336</v>
      </c>
      <c r="F308" s="2" t="s">
        <v>331</v>
      </c>
      <c r="G308" s="2" t="s">
        <v>332</v>
      </c>
      <c r="H308" s="2" t="s">
        <v>333</v>
      </c>
      <c r="I308" s="2" t="s">
        <v>334</v>
      </c>
      <c r="J308" s="2" t="s">
        <v>13</v>
      </c>
      <c r="K308" s="2"/>
    </row>
    <row r="309" spans="1:11" ht="26.4" x14ac:dyDescent="0.3">
      <c r="A309" s="2" t="s">
        <v>337</v>
      </c>
      <c r="B309" s="2" t="str">
        <f t="shared" si="22"/>
        <v>S52</v>
      </c>
      <c r="C309" s="2" t="str">
        <f t="shared" si="23"/>
        <v>Fratura do antebraço</v>
      </c>
      <c r="D309" s="2" t="str">
        <f t="shared" si="24"/>
        <v>Fratura do antebraço</v>
      </c>
      <c r="E309" s="2" t="s">
        <v>338</v>
      </c>
      <c r="F309" s="2" t="s">
        <v>331</v>
      </c>
      <c r="G309" s="2" t="s">
        <v>332</v>
      </c>
      <c r="H309" s="2" t="s">
        <v>333</v>
      </c>
      <c r="I309" s="2" t="s">
        <v>334</v>
      </c>
      <c r="J309" s="2" t="s">
        <v>13</v>
      </c>
      <c r="K309" s="2"/>
    </row>
    <row r="310" spans="1:11" ht="39.6" x14ac:dyDescent="0.3">
      <c r="A310" s="2" t="s">
        <v>339</v>
      </c>
      <c r="B310" s="2" t="str">
        <f t="shared" si="22"/>
        <v>W67</v>
      </c>
      <c r="C310" s="2" t="str">
        <f t="shared" si="23"/>
        <v>Afogamento e submersão em piscina</v>
      </c>
      <c r="D310" s="2" t="str">
        <f t="shared" si="24"/>
        <v>Afogamento e submersão em piscina</v>
      </c>
      <c r="E310" s="2" t="s">
        <v>340</v>
      </c>
      <c r="F310" s="2" t="s">
        <v>341</v>
      </c>
      <c r="G310" s="2" t="s">
        <v>342</v>
      </c>
      <c r="H310" s="2" t="s">
        <v>343</v>
      </c>
      <c r="I310" s="2" t="s">
        <v>344</v>
      </c>
      <c r="J310" s="2" t="s">
        <v>13</v>
      </c>
      <c r="K310" s="2"/>
    </row>
    <row r="311" spans="1:11" ht="39.6" x14ac:dyDescent="0.3">
      <c r="A311" s="2" t="s">
        <v>345</v>
      </c>
      <c r="B311" s="2" t="str">
        <f t="shared" si="22"/>
        <v>W69</v>
      </c>
      <c r="C311" s="2" t="str">
        <f t="shared" si="23"/>
        <v>Afogamento e submersão em águas naturais</v>
      </c>
      <c r="D311" s="2" t="str">
        <f t="shared" si="24"/>
        <v>Afogamento e submersão em águas naturais</v>
      </c>
      <c r="E311" s="2" t="s">
        <v>346</v>
      </c>
      <c r="F311" s="2" t="s">
        <v>341</v>
      </c>
      <c r="G311" s="2" t="s">
        <v>342</v>
      </c>
      <c r="H311" s="2" t="s">
        <v>343</v>
      </c>
      <c r="I311" s="2" t="s">
        <v>344</v>
      </c>
      <c r="J311" s="2" t="s">
        <v>13</v>
      </c>
      <c r="K311" s="2"/>
    </row>
    <row r="312" spans="1:11" ht="39.6" x14ac:dyDescent="0.3">
      <c r="A312" s="2" t="s">
        <v>347</v>
      </c>
      <c r="B312" s="2" t="str">
        <f t="shared" si="22"/>
        <v>W74</v>
      </c>
      <c r="C312" s="2" t="str">
        <f t="shared" si="23"/>
        <v>Afogamento e submersão não especificados</v>
      </c>
      <c r="D312" s="2" t="str">
        <f t="shared" si="24"/>
        <v>Afogamento e submersão não especificados</v>
      </c>
      <c r="E312" s="2" t="s">
        <v>348</v>
      </c>
      <c r="F312" s="2" t="s">
        <v>341</v>
      </c>
      <c r="G312" s="2" t="s">
        <v>342</v>
      </c>
      <c r="H312" s="2" t="s">
        <v>343</v>
      </c>
      <c r="I312" s="2" t="s">
        <v>344</v>
      </c>
      <c r="J312" s="2" t="s">
        <v>27</v>
      </c>
      <c r="K312" s="2"/>
    </row>
    <row r="313" spans="1:11" ht="39.6" x14ac:dyDescent="0.3">
      <c r="A313" s="2" t="s">
        <v>349</v>
      </c>
      <c r="B313" s="2" t="str">
        <f t="shared" si="22"/>
        <v>W75</v>
      </c>
      <c r="C313" s="2" t="str">
        <f t="shared" si="23"/>
        <v>Sufocação e estrangulamento acidentais na cama</v>
      </c>
      <c r="D313" s="2" t="str">
        <f t="shared" si="24"/>
        <v>Sufocação e estrangulamento acidentais na cama</v>
      </c>
      <c r="E313" s="2" t="s">
        <v>350</v>
      </c>
      <c r="F313" s="2" t="s">
        <v>341</v>
      </c>
      <c r="G313" s="2" t="s">
        <v>342</v>
      </c>
      <c r="H313" s="2" t="s">
        <v>343</v>
      </c>
      <c r="I313" s="2" t="s">
        <v>351</v>
      </c>
      <c r="J313" s="2" t="s">
        <v>13</v>
      </c>
      <c r="K313" s="2"/>
    </row>
    <row r="314" spans="1:11" ht="26.4" x14ac:dyDescent="0.3">
      <c r="A314" s="2" t="s">
        <v>352</v>
      </c>
      <c r="B314" s="2" t="str">
        <f t="shared" si="22"/>
        <v>W78</v>
      </c>
      <c r="C314" s="2" t="str">
        <f t="shared" si="23"/>
        <v>Inalação do conteúdo gástrico</v>
      </c>
      <c r="D314" s="2" t="str">
        <f t="shared" si="24"/>
        <v>Inalação do conteúdo gástrico</v>
      </c>
      <c r="E314" s="2" t="s">
        <v>353</v>
      </c>
      <c r="F314" s="2" t="s">
        <v>341</v>
      </c>
      <c r="G314" s="2" t="s">
        <v>342</v>
      </c>
      <c r="H314" s="2" t="s">
        <v>343</v>
      </c>
      <c r="I314" s="2" t="s">
        <v>351</v>
      </c>
      <c r="J314" s="2" t="s">
        <v>13</v>
      </c>
      <c r="K314" s="2"/>
    </row>
    <row r="315" spans="1:11" ht="52.8" x14ac:dyDescent="0.3">
      <c r="A315" s="2" t="s">
        <v>354</v>
      </c>
      <c r="B315" s="2" t="str">
        <f t="shared" si="22"/>
        <v>W79</v>
      </c>
      <c r="C315" s="2" t="str">
        <f t="shared" si="23"/>
        <v>Inalação e ingestão de alimentos causando obstrução do trato respiratório</v>
      </c>
      <c r="D315" s="2" t="str">
        <f t="shared" si="24"/>
        <v>Inalação e ingestão de alimentos causando obstrução do trato respiratório</v>
      </c>
      <c r="E315" s="2" t="s">
        <v>355</v>
      </c>
      <c r="F315" s="2" t="s">
        <v>341</v>
      </c>
      <c r="G315" s="2" t="s">
        <v>342</v>
      </c>
      <c r="H315" s="2" t="s">
        <v>343</v>
      </c>
      <c r="I315" s="2" t="s">
        <v>351</v>
      </c>
      <c r="J315" s="2" t="s">
        <v>13</v>
      </c>
      <c r="K315" s="2"/>
    </row>
    <row r="316" spans="1:11" ht="66" x14ac:dyDescent="0.3">
      <c r="A316" s="2" t="s">
        <v>356</v>
      </c>
      <c r="B316" s="2" t="s">
        <v>815</v>
      </c>
      <c r="C316" s="2" t="s">
        <v>816</v>
      </c>
      <c r="D316" s="2" t="str">
        <f>C316</f>
        <v>Riscos não especificados à respiração - residência</v>
      </c>
      <c r="E316" s="2" t="s">
        <v>357</v>
      </c>
      <c r="F316" s="2" t="s">
        <v>341</v>
      </c>
      <c r="G316" s="2" t="s">
        <v>342</v>
      </c>
      <c r="H316" s="2" t="s">
        <v>343</v>
      </c>
      <c r="I316" s="2" t="s">
        <v>351</v>
      </c>
      <c r="J316" s="2" t="s">
        <v>27</v>
      </c>
      <c r="K316" s="2" t="s">
        <v>358</v>
      </c>
    </row>
    <row r="317" spans="1:11" ht="52.8" x14ac:dyDescent="0.3">
      <c r="A317" s="2" t="s">
        <v>356</v>
      </c>
      <c r="B317" s="2" t="s">
        <v>817</v>
      </c>
      <c r="C317" s="2" t="s">
        <v>818</v>
      </c>
      <c r="D317" s="2" t="str">
        <f>C317</f>
        <v>Riscos não especificados à respiração - habitação coletiva</v>
      </c>
      <c r="E317" s="2" t="s">
        <v>357</v>
      </c>
      <c r="F317" s="2" t="s">
        <v>341</v>
      </c>
      <c r="G317" s="2" t="s">
        <v>342</v>
      </c>
      <c r="H317" s="2" t="s">
        <v>343</v>
      </c>
      <c r="I317" s="2" t="s">
        <v>351</v>
      </c>
      <c r="J317" s="2" t="s">
        <v>27</v>
      </c>
      <c r="K317" s="2"/>
    </row>
    <row r="318" spans="1:11" ht="79.2" x14ac:dyDescent="0.3">
      <c r="A318" s="2" t="s">
        <v>356</v>
      </c>
      <c r="B318" s="2" t="s">
        <v>819</v>
      </c>
      <c r="C318" s="2" t="s">
        <v>820</v>
      </c>
      <c r="D318" s="2" t="str">
        <f t="shared" ref="D318:D323" si="25">C318</f>
        <v>Riscos não especificados à respiração - escolas, outras instituições e áreas de administração pública</v>
      </c>
      <c r="E318" s="2" t="s">
        <v>357</v>
      </c>
      <c r="F318" s="2" t="s">
        <v>341</v>
      </c>
      <c r="G318" s="2" t="s">
        <v>342</v>
      </c>
      <c r="H318" s="2" t="s">
        <v>343</v>
      </c>
      <c r="I318" s="2" t="s">
        <v>351</v>
      </c>
      <c r="J318" s="2" t="s">
        <v>27</v>
      </c>
      <c r="K318" s="2"/>
    </row>
    <row r="319" spans="1:11" ht="66" x14ac:dyDescent="0.3">
      <c r="A319" s="2" t="s">
        <v>356</v>
      </c>
      <c r="B319" s="2" t="s">
        <v>821</v>
      </c>
      <c r="C319" s="2" t="s">
        <v>822</v>
      </c>
      <c r="D319" s="2" t="str">
        <f t="shared" si="25"/>
        <v>Riscos não especificados à respiração - área para a prática de esportes e atletismo</v>
      </c>
      <c r="E319" s="2" t="s">
        <v>357</v>
      </c>
      <c r="F319" s="2" t="s">
        <v>341</v>
      </c>
      <c r="G319" s="2" t="s">
        <v>342</v>
      </c>
      <c r="H319" s="2" t="s">
        <v>343</v>
      </c>
      <c r="I319" s="2" t="s">
        <v>351</v>
      </c>
      <c r="J319" s="2" t="s">
        <v>27</v>
      </c>
      <c r="K319" s="2"/>
    </row>
    <row r="320" spans="1:11" ht="52.8" x14ac:dyDescent="0.3">
      <c r="A320" s="2" t="s">
        <v>356</v>
      </c>
      <c r="B320" s="2" t="s">
        <v>823</v>
      </c>
      <c r="C320" s="2" t="s">
        <v>824</v>
      </c>
      <c r="D320" s="2" t="str">
        <f t="shared" si="25"/>
        <v>Riscos não especificados à respiração - rua e estrada</v>
      </c>
      <c r="E320" s="2" t="s">
        <v>357</v>
      </c>
      <c r="F320" s="2" t="s">
        <v>341</v>
      </c>
      <c r="G320" s="2" t="s">
        <v>342</v>
      </c>
      <c r="H320" s="2" t="s">
        <v>343</v>
      </c>
      <c r="I320" s="2" t="s">
        <v>351</v>
      </c>
      <c r="J320" s="2" t="s">
        <v>27</v>
      </c>
      <c r="K320" s="2"/>
    </row>
    <row r="321" spans="1:11" ht="66" x14ac:dyDescent="0.3">
      <c r="A321" s="2" t="s">
        <v>356</v>
      </c>
      <c r="B321" s="2" t="s">
        <v>825</v>
      </c>
      <c r="C321" s="2" t="s">
        <v>826</v>
      </c>
      <c r="D321" s="2" t="str">
        <f t="shared" si="25"/>
        <v>Riscos não especificados à respiração - áreas de comércio e de serviços</v>
      </c>
      <c r="E321" s="2" t="s">
        <v>357</v>
      </c>
      <c r="F321" s="2" t="s">
        <v>341</v>
      </c>
      <c r="G321" s="2" t="s">
        <v>342</v>
      </c>
      <c r="H321" s="2" t="s">
        <v>343</v>
      </c>
      <c r="I321" s="2" t="s">
        <v>351</v>
      </c>
      <c r="J321" s="2" t="s">
        <v>27</v>
      </c>
      <c r="K321" s="2"/>
    </row>
    <row r="322" spans="1:11" ht="66" x14ac:dyDescent="0.3">
      <c r="A322" s="2" t="s">
        <v>356</v>
      </c>
      <c r="B322" s="2" t="s">
        <v>827</v>
      </c>
      <c r="C322" s="2" t="s">
        <v>828</v>
      </c>
      <c r="D322" s="2" t="str">
        <f t="shared" si="25"/>
        <v>Riscos não especificados à respiração - áreas industriais e em construção</v>
      </c>
      <c r="E322" s="2" t="s">
        <v>357</v>
      </c>
      <c r="F322" s="2" t="s">
        <v>341</v>
      </c>
      <c r="G322" s="2" t="s">
        <v>342</v>
      </c>
      <c r="H322" s="2" t="s">
        <v>343</v>
      </c>
      <c r="I322" s="2" t="s">
        <v>351</v>
      </c>
      <c r="J322" s="2" t="s">
        <v>27</v>
      </c>
      <c r="K322" s="2"/>
    </row>
    <row r="323" spans="1:11" ht="39.6" x14ac:dyDescent="0.3">
      <c r="A323" s="2" t="s">
        <v>356</v>
      </c>
      <c r="B323" s="2" t="s">
        <v>829</v>
      </c>
      <c r="C323" s="2" t="s">
        <v>830</v>
      </c>
      <c r="D323" s="2" t="str">
        <f t="shared" si="25"/>
        <v>Riscos não especificados à respiração - fazenda</v>
      </c>
      <c r="E323" s="2" t="s">
        <v>357</v>
      </c>
      <c r="F323" s="2" t="s">
        <v>341</v>
      </c>
      <c r="G323" s="2" t="s">
        <v>342</v>
      </c>
      <c r="H323" s="2" t="s">
        <v>343</v>
      </c>
      <c r="I323" s="2" t="s">
        <v>351</v>
      </c>
      <c r="J323" s="2" t="s">
        <v>27</v>
      </c>
      <c r="K323" s="2"/>
    </row>
    <row r="324" spans="1:11" ht="39.6" x14ac:dyDescent="0.3">
      <c r="A324" s="2" t="s">
        <v>356</v>
      </c>
      <c r="B324" s="2" t="s">
        <v>831</v>
      </c>
      <c r="C324" s="2" t="s">
        <v>832</v>
      </c>
      <c r="D324" s="2" t="str">
        <f>E324</f>
        <v>Obstrução não especificada da respiração</v>
      </c>
      <c r="E324" s="2" t="s">
        <v>357</v>
      </c>
      <c r="F324" s="2" t="s">
        <v>341</v>
      </c>
      <c r="G324" s="2" t="s">
        <v>342</v>
      </c>
      <c r="H324" s="2" t="s">
        <v>343</v>
      </c>
      <c r="I324" s="2" t="s">
        <v>351</v>
      </c>
      <c r="J324" s="2" t="s">
        <v>27</v>
      </c>
      <c r="K324" s="2"/>
    </row>
    <row r="325" spans="1:11" ht="39.6" x14ac:dyDescent="0.3">
      <c r="A325" s="2" t="s">
        <v>356</v>
      </c>
      <c r="B325" s="2" t="s">
        <v>833</v>
      </c>
      <c r="C325" s="2" t="s">
        <v>834</v>
      </c>
      <c r="D325" s="2" t="str">
        <f>E325</f>
        <v>Obstrução não especificada da respiração</v>
      </c>
      <c r="E325" s="2" t="s">
        <v>357</v>
      </c>
      <c r="F325" s="2" t="s">
        <v>341</v>
      </c>
      <c r="G325" s="2" t="s">
        <v>342</v>
      </c>
      <c r="H325" s="2" t="s">
        <v>343</v>
      </c>
      <c r="I325" s="2" t="s">
        <v>351</v>
      </c>
      <c r="J325" s="2" t="s">
        <v>27</v>
      </c>
      <c r="K325" s="2"/>
    </row>
    <row r="326" spans="1:11" ht="39.6" x14ac:dyDescent="0.3">
      <c r="A326" s="2" t="s">
        <v>359</v>
      </c>
      <c r="B326" s="2" t="s">
        <v>835</v>
      </c>
      <c r="C326" s="2" t="s">
        <v>836</v>
      </c>
      <c r="D326" s="2" t="str">
        <f>C326</f>
        <v>Agressão por meios não especificados - residência</v>
      </c>
      <c r="E326" s="2" t="s">
        <v>360</v>
      </c>
      <c r="F326" s="2" t="s">
        <v>341</v>
      </c>
      <c r="G326" s="2" t="s">
        <v>342</v>
      </c>
      <c r="H326" s="2" t="s">
        <v>343</v>
      </c>
      <c r="I326" s="2" t="s">
        <v>319</v>
      </c>
      <c r="J326" s="2" t="s">
        <v>27</v>
      </c>
      <c r="K326" s="2" t="s">
        <v>361</v>
      </c>
    </row>
    <row r="327" spans="1:11" ht="39.6" x14ac:dyDescent="0.3">
      <c r="A327" s="2" t="s">
        <v>359</v>
      </c>
      <c r="B327" s="2" t="s">
        <v>837</v>
      </c>
      <c r="C327" s="2" t="s">
        <v>838</v>
      </c>
      <c r="D327" s="2" t="str">
        <f t="shared" ref="D327:D333" si="26">C327</f>
        <v>Agressão por meios não especificados - habitação coletiva</v>
      </c>
      <c r="E327" s="2" t="s">
        <v>360</v>
      </c>
      <c r="F327" s="2" t="s">
        <v>341</v>
      </c>
      <c r="G327" s="2" t="s">
        <v>342</v>
      </c>
      <c r="H327" s="2" t="s">
        <v>343</v>
      </c>
      <c r="I327" s="2" t="s">
        <v>319</v>
      </c>
      <c r="J327" s="2" t="s">
        <v>27</v>
      </c>
      <c r="K327" s="2"/>
    </row>
    <row r="328" spans="1:11" ht="79.2" x14ac:dyDescent="0.3">
      <c r="A328" s="2" t="s">
        <v>359</v>
      </c>
      <c r="B328" s="2" t="s">
        <v>839</v>
      </c>
      <c r="C328" s="2" t="s">
        <v>840</v>
      </c>
      <c r="D328" s="2" t="str">
        <f t="shared" si="26"/>
        <v>Agressão por meios não especificados - escolas, outras instituições e áreas de administração pública</v>
      </c>
      <c r="E328" s="2" t="s">
        <v>360</v>
      </c>
      <c r="F328" s="2" t="s">
        <v>341</v>
      </c>
      <c r="G328" s="2" t="s">
        <v>342</v>
      </c>
      <c r="H328" s="2" t="s">
        <v>343</v>
      </c>
      <c r="I328" s="2" t="s">
        <v>319</v>
      </c>
      <c r="J328" s="2" t="s">
        <v>27</v>
      </c>
      <c r="K328" s="2"/>
    </row>
    <row r="329" spans="1:11" ht="52.8" x14ac:dyDescent="0.3">
      <c r="A329" s="2" t="s">
        <v>359</v>
      </c>
      <c r="B329" s="2" t="s">
        <v>841</v>
      </c>
      <c r="C329" s="2" t="s">
        <v>842</v>
      </c>
      <c r="D329" s="2" t="str">
        <f t="shared" si="26"/>
        <v>Agressão por meios não especificados - área para a prática de esportes e atletismo</v>
      </c>
      <c r="E329" s="2" t="s">
        <v>360</v>
      </c>
      <c r="F329" s="2" t="s">
        <v>341</v>
      </c>
      <c r="G329" s="2" t="s">
        <v>342</v>
      </c>
      <c r="H329" s="2" t="s">
        <v>343</v>
      </c>
      <c r="I329" s="2" t="s">
        <v>319</v>
      </c>
      <c r="J329" s="2" t="s">
        <v>27</v>
      </c>
      <c r="K329" s="2"/>
    </row>
    <row r="330" spans="1:11" ht="39.6" x14ac:dyDescent="0.3">
      <c r="A330" s="2" t="s">
        <v>359</v>
      </c>
      <c r="B330" s="2" t="s">
        <v>843</v>
      </c>
      <c r="C330" s="2" t="s">
        <v>844</v>
      </c>
      <c r="D330" s="2" t="str">
        <f t="shared" si="26"/>
        <v>Agressão por meios não especificados - rua e estrada</v>
      </c>
      <c r="E330" s="2" t="s">
        <v>360</v>
      </c>
      <c r="F330" s="2" t="s">
        <v>341</v>
      </c>
      <c r="G330" s="2" t="s">
        <v>342</v>
      </c>
      <c r="H330" s="2" t="s">
        <v>343</v>
      </c>
      <c r="I330" s="2" t="s">
        <v>319</v>
      </c>
      <c r="J330" s="2" t="s">
        <v>27</v>
      </c>
      <c r="K330" s="2"/>
    </row>
    <row r="331" spans="1:11" ht="52.8" x14ac:dyDescent="0.3">
      <c r="A331" s="2" t="s">
        <v>359</v>
      </c>
      <c r="B331" s="2" t="s">
        <v>845</v>
      </c>
      <c r="C331" s="2" t="s">
        <v>846</v>
      </c>
      <c r="D331" s="2" t="str">
        <f t="shared" si="26"/>
        <v>Agressão por meios não especificados - áreas de comércio e de serviços</v>
      </c>
      <c r="E331" s="2" t="s">
        <v>360</v>
      </c>
      <c r="F331" s="2" t="s">
        <v>341</v>
      </c>
      <c r="G331" s="2" t="s">
        <v>342</v>
      </c>
      <c r="H331" s="2" t="s">
        <v>343</v>
      </c>
      <c r="I331" s="2" t="s">
        <v>319</v>
      </c>
      <c r="J331" s="2" t="s">
        <v>27</v>
      </c>
      <c r="K331" s="2"/>
    </row>
    <row r="332" spans="1:11" ht="52.8" x14ac:dyDescent="0.3">
      <c r="A332" s="2" t="s">
        <v>359</v>
      </c>
      <c r="B332" s="2" t="s">
        <v>847</v>
      </c>
      <c r="C332" s="2" t="s">
        <v>848</v>
      </c>
      <c r="D332" s="2" t="str">
        <f t="shared" si="26"/>
        <v>Agressão por meios não especificados - áreas industriais e em construção</v>
      </c>
      <c r="E332" s="2" t="s">
        <v>360</v>
      </c>
      <c r="F332" s="2" t="s">
        <v>341</v>
      </c>
      <c r="G332" s="2" t="s">
        <v>342</v>
      </c>
      <c r="H332" s="2" t="s">
        <v>343</v>
      </c>
      <c r="I332" s="2" t="s">
        <v>319</v>
      </c>
      <c r="J332" s="2" t="s">
        <v>27</v>
      </c>
      <c r="K332" s="2"/>
    </row>
    <row r="333" spans="1:11" ht="39.6" x14ac:dyDescent="0.3">
      <c r="A333" s="2" t="s">
        <v>359</v>
      </c>
      <c r="B333" s="2" t="s">
        <v>849</v>
      </c>
      <c r="C333" s="2" t="s">
        <v>850</v>
      </c>
      <c r="D333" s="2" t="str">
        <f t="shared" si="26"/>
        <v>Agressão por meios não especificados - fazenda</v>
      </c>
      <c r="E333" s="2" t="s">
        <v>360</v>
      </c>
      <c r="F333" s="2" t="s">
        <v>341</v>
      </c>
      <c r="G333" s="2" t="s">
        <v>342</v>
      </c>
      <c r="H333" s="2" t="s">
        <v>343</v>
      </c>
      <c r="I333" s="2" t="s">
        <v>319</v>
      </c>
      <c r="J333" s="2" t="s">
        <v>27</v>
      </c>
      <c r="K333" s="2"/>
    </row>
    <row r="334" spans="1:11" ht="26.4" x14ac:dyDescent="0.3">
      <c r="A334" s="2" t="s">
        <v>359</v>
      </c>
      <c r="B334" s="2" t="s">
        <v>851</v>
      </c>
      <c r="C334" s="2" t="s">
        <v>852</v>
      </c>
      <c r="D334" s="2" t="str">
        <f>E334</f>
        <v>Agressão por meios não especificados</v>
      </c>
      <c r="E334" s="2" t="s">
        <v>360</v>
      </c>
      <c r="F334" s="2" t="s">
        <v>341</v>
      </c>
      <c r="G334" s="2" t="s">
        <v>342</v>
      </c>
      <c r="H334" s="2" t="s">
        <v>343</v>
      </c>
      <c r="I334" s="2" t="s">
        <v>319</v>
      </c>
      <c r="J334" s="2" t="s">
        <v>27</v>
      </c>
      <c r="K334" s="2"/>
    </row>
    <row r="335" spans="1:11" ht="26.4" x14ac:dyDescent="0.3">
      <c r="A335" s="2" t="s">
        <v>359</v>
      </c>
      <c r="B335" s="2" t="s">
        <v>853</v>
      </c>
      <c r="C335" s="2" t="s">
        <v>854</v>
      </c>
      <c r="D335" s="2" t="str">
        <f>E335</f>
        <v>Agressão por meios não especificados</v>
      </c>
      <c r="E335" s="2" t="s">
        <v>360</v>
      </c>
      <c r="F335" s="2" t="s">
        <v>341</v>
      </c>
      <c r="G335" s="2" t="s">
        <v>342</v>
      </c>
      <c r="H335" s="2" t="s">
        <v>343</v>
      </c>
      <c r="I335" s="2" t="s">
        <v>319</v>
      </c>
      <c r="J335" s="2" t="s">
        <v>27</v>
      </c>
      <c r="K335" s="2"/>
    </row>
    <row r="336" spans="1:11" ht="52.8" x14ac:dyDescent="0.3">
      <c r="A336" s="2" t="s">
        <v>362</v>
      </c>
      <c r="B336" s="2" t="str">
        <f>A336</f>
        <v>Y34</v>
      </c>
      <c r="C336" s="2" t="str">
        <f>E336</f>
        <v>Fato ou evento não especificado e intenção não determinada</v>
      </c>
      <c r="D336" s="2" t="str">
        <f>E336</f>
        <v>Fato ou evento não especificado e intenção não determinada</v>
      </c>
      <c r="E336" s="2" t="s">
        <v>363</v>
      </c>
      <c r="F336" s="2" t="s">
        <v>341</v>
      </c>
      <c r="G336" s="2" t="s">
        <v>342</v>
      </c>
      <c r="H336" s="2" t="s">
        <v>343</v>
      </c>
      <c r="I336" s="2" t="s">
        <v>319</v>
      </c>
      <c r="J336" s="2" t="s">
        <v>27</v>
      </c>
      <c r="K336" s="2"/>
    </row>
    <row r="337" spans="1:11" ht="39.6" x14ac:dyDescent="0.3">
      <c r="A337" s="2" t="s">
        <v>364</v>
      </c>
      <c r="B337" s="2" t="str">
        <f>A337</f>
        <v>Z03</v>
      </c>
      <c r="C337" s="2" t="str">
        <f>E337</f>
        <v>Observação e avaliação médicas por suspeita de doenças</v>
      </c>
      <c r="D337" s="2" t="str">
        <f>E337</f>
        <v>Observação e avaliação médicas por suspeita de doenças</v>
      </c>
      <c r="E337" s="2" t="s">
        <v>365</v>
      </c>
      <c r="F337" s="2" t="s">
        <v>366</v>
      </c>
      <c r="G337" s="2" t="s">
        <v>367</v>
      </c>
      <c r="H337" s="2" t="s">
        <v>368</v>
      </c>
      <c r="I337" s="2" t="s">
        <v>369</v>
      </c>
      <c r="J337" s="2" t="s">
        <v>27</v>
      </c>
      <c r="K337" s="2" t="s">
        <v>370</v>
      </c>
    </row>
    <row r="338" spans="1:11" ht="26.4" x14ac:dyDescent="0.3">
      <c r="A338" s="2" t="s">
        <v>371</v>
      </c>
      <c r="B338" s="2" t="str">
        <f t="shared" ref="B338:B340" si="27">A338</f>
        <v>Z37</v>
      </c>
      <c r="C338" s="2" t="str">
        <f t="shared" ref="C338:C340" si="28">E338</f>
        <v>Resultado do parto</v>
      </c>
      <c r="D338" s="2" t="str">
        <f t="shared" ref="D338:D340" si="29">E338</f>
        <v>Resultado do parto</v>
      </c>
      <c r="E338" s="2" t="s">
        <v>372</v>
      </c>
      <c r="F338" s="2" t="s">
        <v>366</v>
      </c>
      <c r="G338" s="2" t="s">
        <v>367</v>
      </c>
      <c r="H338" s="2" t="s">
        <v>368</v>
      </c>
      <c r="I338" s="2" t="s">
        <v>369</v>
      </c>
      <c r="J338" s="2" t="s">
        <v>27</v>
      </c>
      <c r="K338" s="2" t="s">
        <v>373</v>
      </c>
    </row>
    <row r="339" spans="1:11" ht="39.6" x14ac:dyDescent="0.3">
      <c r="A339" s="2" t="s">
        <v>374</v>
      </c>
      <c r="B339" s="2" t="str">
        <f t="shared" si="27"/>
        <v>Z38</v>
      </c>
      <c r="C339" s="2" t="str">
        <f t="shared" si="28"/>
        <v>Nascidos vivos, segundo o local de nascimento</v>
      </c>
      <c r="D339" s="2" t="str">
        <f t="shared" si="29"/>
        <v>Nascidos vivos, segundo o local de nascimento</v>
      </c>
      <c r="E339" s="2" t="s">
        <v>375</v>
      </c>
      <c r="F339" s="2" t="s">
        <v>366</v>
      </c>
      <c r="G339" s="2" t="s">
        <v>367</v>
      </c>
      <c r="H339" s="2" t="s">
        <v>368</v>
      </c>
      <c r="I339" s="2" t="s">
        <v>369</v>
      </c>
      <c r="J339" s="2" t="s">
        <v>27</v>
      </c>
      <c r="K339" s="2" t="s">
        <v>376</v>
      </c>
    </row>
    <row r="340" spans="1:11" ht="52.8" x14ac:dyDescent="0.3">
      <c r="A340" s="2" t="s">
        <v>377</v>
      </c>
      <c r="B340" s="2" t="str">
        <f t="shared" si="27"/>
        <v>Z76</v>
      </c>
      <c r="C340" s="2" t="str">
        <f t="shared" si="28"/>
        <v>Pessoas em contato com os serviços de saúde em outras circunstâncias</v>
      </c>
      <c r="D340" s="2" t="str">
        <f t="shared" si="29"/>
        <v>Pessoas em contato com os serviços de saúde em outras circunstâncias</v>
      </c>
      <c r="E340" s="2" t="s">
        <v>378</v>
      </c>
      <c r="F340" s="2" t="s">
        <v>366</v>
      </c>
      <c r="G340" s="2" t="s">
        <v>367</v>
      </c>
      <c r="H340" s="2" t="s">
        <v>368</v>
      </c>
      <c r="I340" s="2" t="s">
        <v>369</v>
      </c>
      <c r="J340" s="2" t="s">
        <v>27</v>
      </c>
      <c r="K340" s="2" t="s">
        <v>373</v>
      </c>
    </row>
  </sheetData>
  <autoFilter ref="A1:K340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CID-10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Cruz</cp:lastModifiedBy>
  <dcterms:created xsi:type="dcterms:W3CDTF">2026-08-07T16:41:51Z</dcterms:created>
  <dcterms:modified xsi:type="dcterms:W3CDTF">2026-08-14T13:38:00Z</dcterms:modified>
</cp:coreProperties>
</file>